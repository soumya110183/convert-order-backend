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Harith K P\Downloads\"/>
    </mc:Choice>
  </mc:AlternateContent>
  <xr:revisionPtr revIDLastSave="0" documentId="8_{DF22F039-E240-4507-9081-81CD279E0A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 DB" sheetId="1" r:id="rId1"/>
    <sheet name="Product DB" sheetId="2" r:id="rId2"/>
    <sheet name="Scheme DB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3" i="2" l="1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3" i="2"/>
  <c r="E342" i="2"/>
  <c r="E341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G126" i="3"/>
  <c r="G127" i="3"/>
  <c r="D111" i="3"/>
  <c r="C111" i="3"/>
  <c r="H110" i="3"/>
  <c r="F110" i="3"/>
  <c r="G110" i="3"/>
  <c r="E110" i="3"/>
  <c r="C41" i="3"/>
  <c r="C42" i="3"/>
  <c r="B41" i="3"/>
  <c r="B42" i="3"/>
  <c r="H111" i="3"/>
  <c r="E111" i="3"/>
  <c r="D112" i="3"/>
  <c r="C112" i="3"/>
  <c r="H112" i="3"/>
  <c r="E112" i="3"/>
  <c r="F111" i="3"/>
  <c r="G111" i="3"/>
  <c r="F112" i="3"/>
  <c r="G112" i="3"/>
  <c r="H113" i="3"/>
  <c r="D113" i="3"/>
  <c r="D114" i="3"/>
  <c r="C113" i="3"/>
  <c r="E113" i="3"/>
  <c r="H114" i="3"/>
  <c r="F113" i="3"/>
  <c r="G113" i="3"/>
  <c r="F114" i="3"/>
  <c r="H115" i="3"/>
  <c r="G114" i="3"/>
  <c r="E114" i="3"/>
  <c r="C114" i="3"/>
  <c r="D115" i="3"/>
  <c r="E115" i="3"/>
  <c r="D116" i="3"/>
  <c r="B115" i="3"/>
  <c r="B110" i="3"/>
  <c r="F115" i="3"/>
  <c r="G115" i="3"/>
  <c r="H116" i="3"/>
  <c r="F116" i="3"/>
  <c r="G116" i="3"/>
  <c r="H117" i="3"/>
  <c r="C116" i="3"/>
  <c r="D117" i="3"/>
  <c r="E116" i="3"/>
  <c r="C115" i="3"/>
  <c r="C110" i="3"/>
  <c r="D118" i="3"/>
  <c r="E117" i="3"/>
  <c r="C117" i="3"/>
  <c r="H118" i="3"/>
  <c r="F117" i="3"/>
  <c r="G117" i="3"/>
  <c r="F118" i="3"/>
  <c r="H119" i="3"/>
  <c r="G118" i="3"/>
  <c r="E118" i="3"/>
  <c r="C118" i="3"/>
  <c r="D119" i="3"/>
  <c r="D120" i="3"/>
  <c r="E119" i="3"/>
  <c r="C119" i="3"/>
  <c r="F119" i="3"/>
  <c r="G119" i="3"/>
  <c r="H120" i="3"/>
  <c r="H121" i="3"/>
  <c r="F120" i="3"/>
  <c r="G120" i="3"/>
  <c r="B120" i="3"/>
  <c r="C120" i="3"/>
  <c r="E120" i="3"/>
  <c r="D121" i="3"/>
  <c r="E121" i="3"/>
  <c r="C121" i="3"/>
  <c r="D122" i="3"/>
  <c r="H122" i="3"/>
  <c r="F121" i="3"/>
  <c r="G121" i="3"/>
  <c r="D123" i="3"/>
  <c r="E122" i="3"/>
  <c r="C122" i="3"/>
  <c r="F122" i="3"/>
  <c r="H123" i="3"/>
  <c r="G122" i="3"/>
  <c r="F123" i="3"/>
  <c r="G123" i="3"/>
  <c r="H124" i="3"/>
  <c r="E123" i="3"/>
  <c r="C123" i="3"/>
  <c r="D124" i="3"/>
  <c r="D125" i="3"/>
  <c r="C124" i="3"/>
  <c r="E124" i="3"/>
  <c r="H125" i="3"/>
  <c r="F124" i="3"/>
  <c r="G124" i="3"/>
  <c r="F125" i="3"/>
  <c r="F126" i="3"/>
  <c r="G125" i="3"/>
  <c r="B125" i="3"/>
  <c r="D127" i="3"/>
  <c r="D126" i="3"/>
  <c r="C125" i="3"/>
  <c r="E125" i="3"/>
  <c r="E127" i="3"/>
  <c r="C127" i="3"/>
  <c r="C126" i="3"/>
  <c r="B127" i="3"/>
  <c r="B126" i="3"/>
  <c r="F127" i="3"/>
  <c r="H126" i="3"/>
  <c r="H127" i="3"/>
</calcChain>
</file>

<file path=xl/sharedStrings.xml><?xml version="1.0" encoding="utf-8"?>
<sst xmlns="http://schemas.openxmlformats.org/spreadsheetml/2006/main" count="3764" uniqueCount="2738">
  <si>
    <t>Code</t>
  </si>
  <si>
    <t>Customer Type</t>
  </si>
  <si>
    <t>Customer Name</t>
  </si>
  <si>
    <t>Address 1</t>
  </si>
  <si>
    <t>Address 2</t>
  </si>
  <si>
    <t>Address 3</t>
  </si>
  <si>
    <t>City</t>
  </si>
  <si>
    <t>Pin Code</t>
  </si>
  <si>
    <t>State</t>
  </si>
  <si>
    <t>Contact Person</t>
  </si>
  <si>
    <t>Phone No1</t>
  </si>
  <si>
    <t>Phone No2</t>
  </si>
  <si>
    <t>Mobile No</t>
  </si>
  <si>
    <t>Drug Lic No</t>
  </si>
  <si>
    <t>Drug Lic From Dt</t>
  </si>
  <si>
    <t>Drug Lic To Dt</t>
  </si>
  <si>
    <t>Drug Lic No1</t>
  </si>
  <si>
    <t>Drug Lic From Dt1</t>
  </si>
  <si>
    <t>Drug Lic To Dt1</t>
  </si>
  <si>
    <t>Gst No</t>
  </si>
  <si>
    <t>E Mail</t>
  </si>
  <si>
    <t>CARIPILL</t>
  </si>
  <si>
    <t>C5001</t>
  </si>
  <si>
    <t>Stockiest</t>
  </si>
  <si>
    <t>5MP PHARMA PRIVATE LIMITED</t>
  </si>
  <si>
    <t>TC NO 23/2700, JNWA B 6</t>
  </si>
  <si>
    <t>JAWAHAR NAGAR,</t>
  </si>
  <si>
    <t>KOWDIAR 695003</t>
  </si>
  <si>
    <t>TRIVANDRUM</t>
  </si>
  <si>
    <t>KERALA</t>
  </si>
  <si>
    <t>KL-TVM-164029</t>
  </si>
  <si>
    <t>KL-TVM-164030</t>
  </si>
  <si>
    <t>32AABCZ8546N1ZR</t>
  </si>
  <si>
    <t>5mppharmaindia@gmail.com</t>
  </si>
  <si>
    <t>CA001</t>
  </si>
  <si>
    <t>ALPHA PHARMACEUTICALS</t>
  </si>
  <si>
    <t>VII/377(1)</t>
  </si>
  <si>
    <t>CHITTOOR WARD</t>
  </si>
  <si>
    <t>PATHANAMTHITTA P.O</t>
  </si>
  <si>
    <t>PATHNAMTHITTA</t>
  </si>
  <si>
    <t>KL-PTA-148886/20B</t>
  </si>
  <si>
    <t>KL-PTA-148886/21B</t>
  </si>
  <si>
    <t>32AACFA2434J1ZY</t>
  </si>
  <si>
    <t>thomasparakkadavil@gmail.com</t>
  </si>
  <si>
    <t>CA002</t>
  </si>
  <si>
    <t>AMY PHARMA</t>
  </si>
  <si>
    <t>KATTUKULUNGARA TOWERS</t>
  </si>
  <si>
    <t>NEAR BOYS HIGH SCHOOL,ATTINGAL</t>
  </si>
  <si>
    <t>ABHPN1065C</t>
  </si>
  <si>
    <t>ATTINGAL</t>
  </si>
  <si>
    <t>115488/20B</t>
  </si>
  <si>
    <t>115489/21B</t>
  </si>
  <si>
    <t>32ABHPN1065C1Z7</t>
  </si>
  <si>
    <t>anilkumar_amy@yahoo.co.in</t>
  </si>
  <si>
    <t>CA003</t>
  </si>
  <si>
    <t>ARUMUGHAM ENTERPRISES</t>
  </si>
  <si>
    <t>T-C 25/1913(2)</t>
  </si>
  <si>
    <t>MELE THAMPANOOR,TRIVANDRUM</t>
  </si>
  <si>
    <t>AADFA7236P</t>
  </si>
  <si>
    <t>0659/20B/SZ/97</t>
  </si>
  <si>
    <t>0660/21B/SZ/97</t>
  </si>
  <si>
    <t>32AADFA7236P1ZB</t>
  </si>
  <si>
    <t>rajendran1990.arumugham@gmail.com</t>
  </si>
  <si>
    <t>CA004</t>
  </si>
  <si>
    <t>ARUN PHARMACEUTICALS</t>
  </si>
  <si>
    <t>KMC/46-5103/297,USHAS ARCADE PHARMACITY</t>
  </si>
  <si>
    <t>VADAKKUMBHAGOM</t>
  </si>
  <si>
    <t>AGJPP7919A</t>
  </si>
  <si>
    <t>KOLLAM</t>
  </si>
  <si>
    <t>122605/20B</t>
  </si>
  <si>
    <t>122606/21B</t>
  </si>
  <si>
    <t>32AGJPP7919A1ZI</t>
  </si>
  <si>
    <t>arunpharmaceuticals@gmail.com</t>
  </si>
  <si>
    <t>CA005</t>
  </si>
  <si>
    <t>ATTUPURAM ENTERPRISES</t>
  </si>
  <si>
    <t>15/89 G &amp; 15/89 HAPN ATRIUM</t>
  </si>
  <si>
    <t>UDAYA NAGAR,KOZHIKODE ROAD</t>
  </si>
  <si>
    <t>AAEFA7797E</t>
  </si>
  <si>
    <t>MANJERI</t>
  </si>
  <si>
    <t>RLF21B2022KL000232</t>
  </si>
  <si>
    <t>RLF20B2022KL000231</t>
  </si>
  <si>
    <t>32AAEFA7797E1ZF</t>
  </si>
  <si>
    <t>attupuram.enterprises@gmail.com</t>
  </si>
  <si>
    <t>CA006</t>
  </si>
  <si>
    <t>AYYAPPA DISTRIBUTORS</t>
  </si>
  <si>
    <t>X11/679,COLLEGE ROAD</t>
  </si>
  <si>
    <t>PALAKKAD</t>
  </si>
  <si>
    <t>AQTPS7627J</t>
  </si>
  <si>
    <t>20B/116727</t>
  </si>
  <si>
    <t>21B/116728</t>
  </si>
  <si>
    <t>32AQTPS7627J1Z4</t>
  </si>
  <si>
    <t>ayyappadistributors@gmail.com</t>
  </si>
  <si>
    <t>CA007</t>
  </si>
  <si>
    <t>AYYAPA ENTERPRISES</t>
  </si>
  <si>
    <t>17/1103,NEDUNGADEES COMMERCIAL SHOPPING COMPLEX</t>
  </si>
  <si>
    <t>COLLEGE ROAD</t>
  </si>
  <si>
    <t>AAHFA5893L</t>
  </si>
  <si>
    <t>KL-PKD-122734</t>
  </si>
  <si>
    <t>KL-PKD122735</t>
  </si>
  <si>
    <t>32AAHFA5893L1Z4</t>
  </si>
  <si>
    <t>ayyappae@gmail.com</t>
  </si>
  <si>
    <t>CA008</t>
  </si>
  <si>
    <t>AJANUR DRUGS</t>
  </si>
  <si>
    <t>BLDG. NO: KMC 1/1715C</t>
  </si>
  <si>
    <t>NEAR BUS STAND,KASARAGOD DIST.,</t>
  </si>
  <si>
    <t>AAMFA5891P</t>
  </si>
  <si>
    <t>KANHANGAD</t>
  </si>
  <si>
    <t>0467-2202816</t>
  </si>
  <si>
    <t>KAS-112518/20B</t>
  </si>
  <si>
    <t>KAS-112519/21B</t>
  </si>
  <si>
    <t>32AAMFA5891P1ZT</t>
  </si>
  <si>
    <t>ajanurgroup@gmail.com</t>
  </si>
  <si>
    <t>CA009</t>
  </si>
  <si>
    <t>AAR YEN PHARMA</t>
  </si>
  <si>
    <t>IV/93(38),THAVALENGAL BUILDING,</t>
  </si>
  <si>
    <t>HOSPITAL ROAD,</t>
  </si>
  <si>
    <t>AJJPR7575F</t>
  </si>
  <si>
    <t>PERINTHALMANNA</t>
  </si>
  <si>
    <t>MR. RANJITH. N</t>
  </si>
  <si>
    <t>0493-3221999</t>
  </si>
  <si>
    <t>KL-MLP-10/0391</t>
  </si>
  <si>
    <t>KL-MLP-10/0392</t>
  </si>
  <si>
    <t>32AJJPR7575F1ZV</t>
  </si>
  <si>
    <t>aaryenpharma@gmail.com</t>
  </si>
  <si>
    <t>KOTTAYAM</t>
  </si>
  <si>
    <t>CALICUT</t>
  </si>
  <si>
    <t>CA014</t>
  </si>
  <si>
    <t>ADARA PHARMA</t>
  </si>
  <si>
    <t>SIVODAYA GREEN VALLEY,</t>
  </si>
  <si>
    <t>T.C. 3/315 (4), HOUSE NO. 62</t>
  </si>
  <si>
    <t>MUTTADA P.O.</t>
  </si>
  <si>
    <t>0471-2430313</t>
  </si>
  <si>
    <t>1-288/20B/2005</t>
  </si>
  <si>
    <t>1-289/21B/2005</t>
  </si>
  <si>
    <t>32ADDPV2081N1ZA</t>
  </si>
  <si>
    <t>adarapharmatvm@gmail.com</t>
  </si>
  <si>
    <t>TRISSUR</t>
  </si>
  <si>
    <t>32AALCA0738P1ZG</t>
  </si>
  <si>
    <t>ariespurchase2014@gmail.com</t>
  </si>
  <si>
    <t>PATHANAMTHITTA</t>
  </si>
  <si>
    <t>KASARGOD</t>
  </si>
  <si>
    <t>anupharmakgd@gmail.com</t>
  </si>
  <si>
    <t>CA019</t>
  </si>
  <si>
    <t>ASSOCIATED DRUGS</t>
  </si>
  <si>
    <t>45/409,45/410,45/411,45/422,</t>
  </si>
  <si>
    <t>STAR COMPLEX, VADIKAL, THALASSERY-670101,</t>
  </si>
  <si>
    <t>THALASSERY, DISTRICT-KANNUR, STATE-KERALA, INDIA</t>
  </si>
  <si>
    <t>TELLICHERRY</t>
  </si>
  <si>
    <t>20B/WLF20B2022KL000039</t>
  </si>
  <si>
    <t>21B/WLF21B2022KL000040</t>
  </si>
  <si>
    <t>32ABZFA8028J1ZZ</t>
  </si>
  <si>
    <t>associatedugstly@gmail.com</t>
  </si>
  <si>
    <t>CA020</t>
  </si>
  <si>
    <t>ANU PHARMA (A UNIT OF EMMARLINK DISTRIBUTORS PVT LTD)</t>
  </si>
  <si>
    <t>Door No 5/745-B 10,1st Floor,</t>
  </si>
  <si>
    <t>Vanila Square, Kottachery,</t>
  </si>
  <si>
    <t>Kanhangad P O, Kasaragod-671315</t>
  </si>
  <si>
    <t>WLF20B2025KL000440</t>
  </si>
  <si>
    <t>WLF21B2025KL000438</t>
  </si>
  <si>
    <t>32AAGCE9732J5ZD</t>
  </si>
  <si>
    <t>CA021</t>
  </si>
  <si>
    <t>ASWATHI AGENCIES</t>
  </si>
  <si>
    <t>28/442, ASWATHI BUILDING,</t>
  </si>
  <si>
    <t>CLUB ROAD, KADAVANTHRA,</t>
  </si>
  <si>
    <t>Ernakulam, Kerala,</t>
  </si>
  <si>
    <t>ERNAKULAM</t>
  </si>
  <si>
    <t>RLF20B2023KL000931</t>
  </si>
  <si>
    <t>RLF21B2023KL000925</t>
  </si>
  <si>
    <t>32AAIFA5284A1ZX</t>
  </si>
  <si>
    <t>aswathiagencies@gmail.com</t>
  </si>
  <si>
    <t>CB001</t>
  </si>
  <si>
    <t>BADAGARA DRUG LINES</t>
  </si>
  <si>
    <t>SREE SASTHA BUILDING,EDODI</t>
  </si>
  <si>
    <t>BADAGARA</t>
  </si>
  <si>
    <t>AAFFB6600C</t>
  </si>
  <si>
    <t>VADAKARA</t>
  </si>
  <si>
    <t>11-054/20B/05</t>
  </si>
  <si>
    <t>11-055/21B/05</t>
  </si>
  <si>
    <t>32AAFFB6600C1Z9</t>
  </si>
  <si>
    <t>bdlvtk@gmail.com</t>
  </si>
  <si>
    <t>CB002</t>
  </si>
  <si>
    <t>BROTHERS PHARMA</t>
  </si>
  <si>
    <t>KMC/46/5092/305,NINAN TOWER</t>
  </si>
  <si>
    <t>VADAKUMBHAKOM,BIG BAZAR,KOLLAM</t>
  </si>
  <si>
    <t>AAOPA0435D</t>
  </si>
  <si>
    <t>WLF20B2024KLO01313</t>
  </si>
  <si>
    <t>WLF2182024KLO01274</t>
  </si>
  <si>
    <t>32AAOPA0435D1ZH</t>
  </si>
  <si>
    <t>ninan44@gmail.com</t>
  </si>
  <si>
    <t>CB003</t>
  </si>
  <si>
    <t>BRUKLYN ASSOCIATES</t>
  </si>
  <si>
    <t>19/685-4,ABN ARCADE</t>
  </si>
  <si>
    <t>GREAT LANE ROAD,BAZAR P.O.,ALUVA,ERNAKULAM-683 101</t>
  </si>
  <si>
    <t>AACFB1927D</t>
  </si>
  <si>
    <t>ALUVA</t>
  </si>
  <si>
    <t>AJU</t>
  </si>
  <si>
    <t>KL-7-590/20B/11</t>
  </si>
  <si>
    <t>KL7-591/21B/11</t>
  </si>
  <si>
    <t>32AACFB1927D1Z6</t>
  </si>
  <si>
    <t>claim@abnbusinessgroup.com</t>
  </si>
  <si>
    <t>CB004</t>
  </si>
  <si>
    <t>BALAJI MEDICAL AGENCIES</t>
  </si>
  <si>
    <t>XXV/731/2, MANNATH LANE</t>
  </si>
  <si>
    <t>AACFB3708J</t>
  </si>
  <si>
    <t>TRICHUR</t>
  </si>
  <si>
    <t>MR. P.R. SHANKARANARAYANAN</t>
  </si>
  <si>
    <t>0487-2335049</t>
  </si>
  <si>
    <t>0487-2339539</t>
  </si>
  <si>
    <t>WLF20B2024KL001064</t>
  </si>
  <si>
    <t>WLF21B2024KL001030</t>
  </si>
  <si>
    <t>32AACFB3708J1ZU</t>
  </si>
  <si>
    <t>billing4balaji@gmail.com</t>
  </si>
  <si>
    <t>bigfieldspta@gmail.com</t>
  </si>
  <si>
    <t>KOZHIKODE</t>
  </si>
  <si>
    <t>CB007</t>
  </si>
  <si>
    <t>BIGFIELD DRUG LINKS PRIVATE LIMITED</t>
  </si>
  <si>
    <t>PMC 9/55,58, BIGFIELD AND PARTNERS AVENUE,</t>
  </si>
  <si>
    <t>NEAR GENERAL HOSPITAL</t>
  </si>
  <si>
    <t>PATHANAMTHITTA -689645</t>
  </si>
  <si>
    <t>WLF20B2024KL000833</t>
  </si>
  <si>
    <t>WLF21B2024KL000806</t>
  </si>
  <si>
    <t>32AAMCB2814L1ZP</t>
  </si>
  <si>
    <t>CC.001</t>
  </si>
  <si>
    <t>NEETHI MEDICAL SCHEME-ERNAKULAM</t>
  </si>
  <si>
    <t>DOOR NO:32/1571-C1</t>
  </si>
  <si>
    <t>PERINGATTU ROAD</t>
  </si>
  <si>
    <t>PALARIVATTOM .P.O</t>
  </si>
  <si>
    <t>CC001</t>
  </si>
  <si>
    <t>C.M.MEDICAL AGENCIES</t>
  </si>
  <si>
    <t>11/140A PUTHENPEEDIKAYIL BUILDING</t>
  </si>
  <si>
    <t>THAZHAKARA P O MAVELIKARA</t>
  </si>
  <si>
    <t>AADFC3068K</t>
  </si>
  <si>
    <t>MAVELIKARA</t>
  </si>
  <si>
    <t>KL-ALP-113681</t>
  </si>
  <si>
    <t>KL-ALP-113682</t>
  </si>
  <si>
    <t>32AADFC3068K1ZL</t>
  </si>
  <si>
    <t>cm2medicals@yahoo.in</t>
  </si>
  <si>
    <t>CC002</t>
  </si>
  <si>
    <t>CENTRAL DRUG HOUSE</t>
  </si>
  <si>
    <t>THADATHIL BUILDING</t>
  </si>
  <si>
    <t>CHELLIYOZHUKAM ROAD,KOTTAYAM</t>
  </si>
  <si>
    <t>AADFC3072F</t>
  </si>
  <si>
    <t>134631/20B/2018</t>
  </si>
  <si>
    <t>134632/21N/2018</t>
  </si>
  <si>
    <t>32AADFC3072F1Z0</t>
  </si>
  <si>
    <t>centraldhktm@gmail.com</t>
  </si>
  <si>
    <t>CC003</t>
  </si>
  <si>
    <t>CENTRAL PHARMACEUTICALS DISTRIBUTORS</t>
  </si>
  <si>
    <t>KC.XVI/1669,</t>
  </si>
  <si>
    <t>WESTERN TOWER,VADAKUMBHAKOM,KOLLAM</t>
  </si>
  <si>
    <t>AAAFC7674E</t>
  </si>
  <si>
    <t>WLF20B2024KL001197</t>
  </si>
  <si>
    <t>WLF21B2024KL001161</t>
  </si>
  <si>
    <t>32AAAFC7674E1ZP</t>
  </si>
  <si>
    <t>centralpharmaklm@yahoo.com</t>
  </si>
  <si>
    <t>CC004</t>
  </si>
  <si>
    <t>CHEM PHARMA</t>
  </si>
  <si>
    <t>16/247</t>
  </si>
  <si>
    <t>CALICUT ROAD</t>
  </si>
  <si>
    <t>AABFC6030B</t>
  </si>
  <si>
    <t>0745/20B/NZ/92</t>
  </si>
  <si>
    <t>0746/21B/NZ/92</t>
  </si>
  <si>
    <t>32AABFC6030B1ZE</t>
  </si>
  <si>
    <t>fatimaenter@gmail.com</t>
  </si>
  <si>
    <t>CC005</t>
  </si>
  <si>
    <t>CHITRA AGENCIES</t>
  </si>
  <si>
    <t>JAIL ROAD</t>
  </si>
  <si>
    <t>CALICUT-673 004</t>
  </si>
  <si>
    <t>AABFC5521D</t>
  </si>
  <si>
    <t>WLF20B2025KL001633</t>
  </si>
  <si>
    <t>WLF21B2025KL001601</t>
  </si>
  <si>
    <t>32AABFC5521D1Z8</t>
  </si>
  <si>
    <t>sreeashwin41@gmail.com</t>
  </si>
  <si>
    <t>CC006</t>
  </si>
  <si>
    <t>COCHIN DRUG HOUSE</t>
  </si>
  <si>
    <t>JSN TOWERS,MANKUZHI ROAD</t>
  </si>
  <si>
    <t>EDAPALLY P.O.KOCHI</t>
  </si>
  <si>
    <t>AAAFC7601F</t>
  </si>
  <si>
    <t>KL-EKM-111171</t>
  </si>
  <si>
    <t>KL-EKM-111172</t>
  </si>
  <si>
    <t>32AAAFC7601F1Z4</t>
  </si>
  <si>
    <t>cochindrughouse18@gmail.com</t>
  </si>
  <si>
    <t>CC007</t>
  </si>
  <si>
    <t>CHANDRATHIL DRUG HOUSE</t>
  </si>
  <si>
    <t>DOOR NO.IX/701/G&amp;I</t>
  </si>
  <si>
    <t>PAIKADAS BUILDING PAIKADAS LANE</t>
  </si>
  <si>
    <t>ABMPT0783E</t>
  </si>
  <si>
    <t>KL-KTM-155888/20B</t>
  </si>
  <si>
    <t>KL-KTM-155889/21B</t>
  </si>
  <si>
    <t>32ABMPT0783E1ZL</t>
  </si>
  <si>
    <t>cdhktm72@gmail.com</t>
  </si>
  <si>
    <t>CC008</t>
  </si>
  <si>
    <t>CLASSIC AGENCIES</t>
  </si>
  <si>
    <t>XI/198-,1st Floor, A P Arcade</t>
  </si>
  <si>
    <t>M.C. Avenue, Guruvayur road,</t>
  </si>
  <si>
    <t>Kunnamkulam</t>
  </si>
  <si>
    <t>KUNNAMKULAM</t>
  </si>
  <si>
    <t>20B/125327</t>
  </si>
  <si>
    <t>21B/125328</t>
  </si>
  <si>
    <t>32AABFC8630R1Z7</t>
  </si>
  <si>
    <t>apmdkkm@gmail.com</t>
  </si>
  <si>
    <t>CC009</t>
  </si>
  <si>
    <t>CENTRAL AGENCIES</t>
  </si>
  <si>
    <t>18/667,18/675 A &amp; D</t>
  </si>
  <si>
    <t>TALI, CHALAPPURAM</t>
  </si>
  <si>
    <t>RLF21B2022KL000502</t>
  </si>
  <si>
    <t>RLF20B2022KL000506</t>
  </si>
  <si>
    <t>32ACSPR4073Q1ZR</t>
  </si>
  <si>
    <t>centralagencies2006@gmail.com</t>
  </si>
  <si>
    <t>devipharmakerala@gmail.com</t>
  </si>
  <si>
    <t>KANNUR</t>
  </si>
  <si>
    <t>druglinkscnr@gmail.com</t>
  </si>
  <si>
    <t>CD003</t>
  </si>
  <si>
    <t>DRUG WORLD</t>
  </si>
  <si>
    <t>AARANYAK,NR.SURGICARE HOSPITTAL,</t>
  </si>
  <si>
    <t>KOTTACHERRY</t>
  </si>
  <si>
    <t>AADFD5658G</t>
  </si>
  <si>
    <t>KL/RL/F19/2024/02618</t>
  </si>
  <si>
    <t>KL/RL/F19/2024/02619 V</t>
  </si>
  <si>
    <t>32AADFD5658G1ZL</t>
  </si>
  <si>
    <t>drugworld.kng@gmail.com</t>
  </si>
  <si>
    <t>CD004</t>
  </si>
  <si>
    <t>THE DRUGS INSPECTOR (IB)</t>
  </si>
  <si>
    <t>OFFICE OF THE ASSISTANT DRUGS CONTROLLER</t>
  </si>
  <si>
    <t>CIVIL STATION BUILDING KAKANNAD</t>
  </si>
  <si>
    <t>D.T.ASSOCIATES</t>
  </si>
  <si>
    <t>CD006</t>
  </si>
  <si>
    <t>11/267(5)</t>
  </si>
  <si>
    <t>TAILOR STREET,PALAKKAD</t>
  </si>
  <si>
    <t>AAIFD6196J</t>
  </si>
  <si>
    <t>MR.UDAYAKUMAR V</t>
  </si>
  <si>
    <t>KL-PKD-112092</t>
  </si>
  <si>
    <t>KL-PKD-112093</t>
  </si>
  <si>
    <t>32AAIFD6196J1Z6</t>
  </si>
  <si>
    <t>d.t.associatespkd@gmail.com</t>
  </si>
  <si>
    <t>M.G. ROAD</t>
  </si>
  <si>
    <t>CD008</t>
  </si>
  <si>
    <t>DIAMOND DRUGS</t>
  </si>
  <si>
    <t>19/225-C, REGENCY TOWER,</t>
  </si>
  <si>
    <t>BEHIND NEW BUS STAND</t>
  </si>
  <si>
    <t>PAN NO. ABCDE1111M</t>
  </si>
  <si>
    <t>KL-KKD-11/327/2013</t>
  </si>
  <si>
    <t>KL-KKD-11/328/2013</t>
  </si>
  <si>
    <t>32AACFD0609E1Z9</t>
  </si>
  <si>
    <t>diamondrt66@gmail.com</t>
  </si>
  <si>
    <t>CD009</t>
  </si>
  <si>
    <t>DRUGLINK (A UNIT OF EMMARLINK DISTRIBUTORS PVT LTD)</t>
  </si>
  <si>
    <t>52/5288, 52/5289, FORT ROAD, KANNUR,</t>
  </si>
  <si>
    <t>Kannur Circle,</t>
  </si>
  <si>
    <t>WLF21B2025KL000316</t>
  </si>
  <si>
    <t>WLF20B2025KL000308</t>
  </si>
  <si>
    <t>32AAGCE9732J3ZF</t>
  </si>
  <si>
    <t>CD010</t>
  </si>
  <si>
    <t>Dr A.M Fair Price Medicines</t>
  </si>
  <si>
    <t>Door No.22/472 Patavaratu,</t>
  </si>
  <si>
    <t>Blazetlles Ware House,Kuttanellur Ollur Road</t>
  </si>
  <si>
    <t>Puthur P.O</t>
  </si>
  <si>
    <t>WLF20B2022KL000450</t>
  </si>
  <si>
    <t>WLF20B2022KL000448</t>
  </si>
  <si>
    <t>32ACRPM8925B1ZJ</t>
  </si>
  <si>
    <t>amfair2020@gmail.com</t>
  </si>
  <si>
    <t>CE001</t>
  </si>
  <si>
    <t>ENCARE PHARMA</t>
  </si>
  <si>
    <t>V/394 A,KANNAMPUZHA TOWER,MANJALY ROAD</t>
  </si>
  <si>
    <t>CHAMPANOOR,ANGAMALY SOUTH P.O.,ANGAMALY</t>
  </si>
  <si>
    <t>AACFE4198B</t>
  </si>
  <si>
    <t>SHIBU</t>
  </si>
  <si>
    <t>WLF20B2023KL001989</t>
  </si>
  <si>
    <t>WLF21B2023KL001963</t>
  </si>
  <si>
    <t>32AACFE4198B1ZU</t>
  </si>
  <si>
    <t>encarebilling@gmail.com</t>
  </si>
  <si>
    <t>CE002</t>
  </si>
  <si>
    <t>ENGLISH COMPANY,ALPY</t>
  </si>
  <si>
    <t>14/2741/A2</t>
  </si>
  <si>
    <t>CULLEN ROAD,MULLEKKAL ,ALLEPPEY</t>
  </si>
  <si>
    <t>AAAFE5551G</t>
  </si>
  <si>
    <t>ALLEPEY</t>
  </si>
  <si>
    <t>WLF20B2022KL000541</t>
  </si>
  <si>
    <t>WLF21B2022KL000537</t>
  </si>
  <si>
    <t>32AAJFE1141P1ZH</t>
  </si>
  <si>
    <t>englishcompany1937@gmail.com</t>
  </si>
  <si>
    <t>CE004</t>
  </si>
  <si>
    <t>SUPPLY CO (ERN)</t>
  </si>
  <si>
    <t>WHOLESALE MEDICINE DIVISION,</t>
  </si>
  <si>
    <t>GANDHINAGAR,</t>
  </si>
  <si>
    <t>7-265/20B/04</t>
  </si>
  <si>
    <t>7-266/21B/04</t>
  </si>
  <si>
    <t>FORT ROAD</t>
  </si>
  <si>
    <t>CF001</t>
  </si>
  <si>
    <t>FATIMA PHARMA</t>
  </si>
  <si>
    <t>DOOR NO 8/1457 G&amp;H, CALICUT ROAD</t>
  </si>
  <si>
    <t>MANJERI, MANJERI POST, MANJERI CIRCLE,</t>
  </si>
  <si>
    <t>MALAPPURAM</t>
  </si>
  <si>
    <t>WLF21B2025KL000364</t>
  </si>
  <si>
    <t>WLF20B2025KL000362</t>
  </si>
  <si>
    <t>32AACFF6557B1ZU</t>
  </si>
  <si>
    <t>fdhmnji@yahoo.in</t>
  </si>
  <si>
    <t>CG001</t>
  </si>
  <si>
    <t>GEETHA AGENCIES</t>
  </si>
  <si>
    <t>DOOR NO:5-608B</t>
  </si>
  <si>
    <t>THENKIZHAMOOLAYIL BUILDINGSGOV.BOY`S SCHOOL ROAD</t>
  </si>
  <si>
    <t>AABFG3391F</t>
  </si>
  <si>
    <t>001265/20B</t>
  </si>
  <si>
    <t>001260/21B</t>
  </si>
  <si>
    <t>32AABFG3391F1ZS</t>
  </si>
  <si>
    <t>geethaagenciesmvk@gmail.com</t>
  </si>
  <si>
    <t>CG002</t>
  </si>
  <si>
    <t>GEO DRUG HOUSE</t>
  </si>
  <si>
    <t>VI/324(1),JOJOS ENCLAVE</t>
  </si>
  <si>
    <t>MUNDAPALLIL LANE,S.C.S JN.PATHANAMTHITTA</t>
  </si>
  <si>
    <t>AAEFG3155A</t>
  </si>
  <si>
    <t>THIRUVALLA</t>
  </si>
  <si>
    <t>8589033085,</t>
  </si>
  <si>
    <t>WLF20B2024KL000885</t>
  </si>
  <si>
    <t>WLF21B2024KL000856</t>
  </si>
  <si>
    <t>32AAEFG3155A1Z5</t>
  </si>
  <si>
    <t>geodrughouse.jojo@gmail.com</t>
  </si>
  <si>
    <t>CG003</t>
  </si>
  <si>
    <t>GETWELL MEDICARE SOLUTION PVT LTD</t>
  </si>
  <si>
    <t>66/1956 B GETWEL ESTATE</t>
  </si>
  <si>
    <t>OPP VEEKSHANAM ROAD</t>
  </si>
  <si>
    <t>AAHCG5616N</t>
  </si>
  <si>
    <t>Mr.Dileep Kumar</t>
  </si>
  <si>
    <t>0484-2370709</t>
  </si>
  <si>
    <t>0484-2380335</t>
  </si>
  <si>
    <t>WLF20B2025KL000017</t>
  </si>
  <si>
    <t>WLF21B2025KL000026</t>
  </si>
  <si>
    <t>32AAHCG5616N1ZF</t>
  </si>
  <si>
    <t>gwmc@getwellenterprises.com</t>
  </si>
  <si>
    <t>CG004</t>
  </si>
  <si>
    <t>GREENSPECIALITIES PRIVATE LIMITED</t>
  </si>
  <si>
    <t>51/123 B ,C, GEOMATHS SQUARE</t>
  </si>
  <si>
    <t>NEAR OEN OFFICE,VYTTILA COCHIN,</t>
  </si>
  <si>
    <t>PAN NO. AAOFG5309E</t>
  </si>
  <si>
    <t>RLF20B2023KL002214</t>
  </si>
  <si>
    <t>RLF21B2023KL002187</t>
  </si>
  <si>
    <t>32AAHCG8341C1ZY</t>
  </si>
  <si>
    <t>greenspecialities@gmail.com</t>
  </si>
  <si>
    <t>CG005</t>
  </si>
  <si>
    <t>GEETHA AGENCIES, PKD</t>
  </si>
  <si>
    <t>X1/568(4), 2ND FLOOR</t>
  </si>
  <si>
    <t>HARIKKARA STREET</t>
  </si>
  <si>
    <t>PALGHAT</t>
  </si>
  <si>
    <t>KL-PKD-112192</t>
  </si>
  <si>
    <t>KL-PKD-112193</t>
  </si>
  <si>
    <t>32AADFG0218K1ZV</t>
  </si>
  <si>
    <t>geethaagencies.in@gmail.com</t>
  </si>
  <si>
    <t>CG006</t>
  </si>
  <si>
    <t>GANESH TRADES</t>
  </si>
  <si>
    <t>TC 2518/29,JB Square,All India Radio Road</t>
  </si>
  <si>
    <t>Vazhuthacaud,Thiruvananthpuram - 695014</t>
  </si>
  <si>
    <t>WLF20B2023KL002445</t>
  </si>
  <si>
    <t>WLF21B2023KL002414</t>
  </si>
  <si>
    <t>32AAEFG3000G1Z9</t>
  </si>
  <si>
    <t>trades771@gmail.com</t>
  </si>
  <si>
    <t>CI001</t>
  </si>
  <si>
    <t>INTERNATIONAL AGENCIES, TVM</t>
  </si>
  <si>
    <t>T C 27/2213 (1), CPGP TOWER</t>
  </si>
  <si>
    <t>UPPALAM ROAD,TRIVANDRUM</t>
  </si>
  <si>
    <t>AABFI2851E</t>
  </si>
  <si>
    <t>1-337/20B/2003</t>
  </si>
  <si>
    <t>1-338/21B/2003</t>
  </si>
  <si>
    <t>32AABFI2851E1ZX</t>
  </si>
  <si>
    <t>inacpgp@gmail.com</t>
  </si>
  <si>
    <t>CI003</t>
  </si>
  <si>
    <t>INTERNATIONAL AGENCIES, TCR</t>
  </si>
  <si>
    <t>09/578, BROTHERS LANE</t>
  </si>
  <si>
    <t>ERINJERY ANGADI,</t>
  </si>
  <si>
    <t>RLF21B2022KL000415</t>
  </si>
  <si>
    <t>RLF20B2022KL000418</t>
  </si>
  <si>
    <t>32AAAFI0356B1Z8</t>
  </si>
  <si>
    <t>inathrissur@gmail.com</t>
  </si>
  <si>
    <t>CJ001</t>
  </si>
  <si>
    <t>J.J.BROTHERS</t>
  </si>
  <si>
    <t>X/771,X/771/1,ERINJERI ANGADI</t>
  </si>
  <si>
    <t>AACFJ9388A</t>
  </si>
  <si>
    <t>136120/20B</t>
  </si>
  <si>
    <t>136121/21B</t>
  </si>
  <si>
    <t>32AACFJ9388A1ZH</t>
  </si>
  <si>
    <t>jjbrotherstcr@gmail.com</t>
  </si>
  <si>
    <t>CJ002</t>
  </si>
  <si>
    <t>J.J.PHARMACEUTICALS</t>
  </si>
  <si>
    <t>PHARMA CITY,KCXVI/1660</t>
  </si>
  <si>
    <t>THENGUVILAYIL BUILDING,VADAKUMBHAKOM</t>
  </si>
  <si>
    <t>AAFFJ6686A</t>
  </si>
  <si>
    <t>WLF21B2024KL001160</t>
  </si>
  <si>
    <t>WLF20B2024KL001196</t>
  </si>
  <si>
    <t>32AAFFJ6686A1ZJ</t>
  </si>
  <si>
    <t>vpeklm@gmail.com</t>
  </si>
  <si>
    <t>CJ003</t>
  </si>
  <si>
    <t>JACKSON DRUG HOUSE</t>
  </si>
  <si>
    <t>DOOR NO. IX/50 C(1)</t>
  </si>
  <si>
    <t>VALAYIL BULDING, LBS ROAD,KOTTAYAM</t>
  </si>
  <si>
    <t>AADFJ4466C</t>
  </si>
  <si>
    <t>4-131/20B/2012/A</t>
  </si>
  <si>
    <t>4-132/21B/2012/A</t>
  </si>
  <si>
    <t>32AADFJ4466C1ZR</t>
  </si>
  <si>
    <t>jacksondhktm@gmail.com</t>
  </si>
  <si>
    <t>CJ004</t>
  </si>
  <si>
    <t>JACKSON DRUG HOUSE OF MALABAR</t>
  </si>
  <si>
    <t>18/661,TALI</t>
  </si>
  <si>
    <t>AACFJ2195H</t>
  </si>
  <si>
    <t>RLF21B2023KL001909 / 136486</t>
  </si>
  <si>
    <t>RLF20B2023KL001937 / 136485</t>
  </si>
  <si>
    <t>32AACFJ2195H1ZK</t>
  </si>
  <si>
    <t>jacksonrtrt@gmail.com</t>
  </si>
  <si>
    <t>CJ005</t>
  </si>
  <si>
    <t>JACOB MEDICALS</t>
  </si>
  <si>
    <t>JACOB TOWER</t>
  </si>
  <si>
    <t>HPO JUNCTION,MUVATTUPUZHA</t>
  </si>
  <si>
    <t>AABFJ7521J</t>
  </si>
  <si>
    <t>MUVATTUPUZHA</t>
  </si>
  <si>
    <t>KL-EKM133817/20B</t>
  </si>
  <si>
    <t>KL-EKM133818/21B</t>
  </si>
  <si>
    <t>32AABFJ7521J1ZK</t>
  </si>
  <si>
    <t>jacob7medicals@gmail.com</t>
  </si>
  <si>
    <t>CJ006</t>
  </si>
  <si>
    <t>JASP ENTERPRISES</t>
  </si>
  <si>
    <t>XXVIII/279 MAIN ROAD</t>
  </si>
  <si>
    <t>CHALAKUDY</t>
  </si>
  <si>
    <t>AACFJ2596C</t>
  </si>
  <si>
    <t>CHALAKUDDY</t>
  </si>
  <si>
    <t>KL001951/KL-TSR-8/374</t>
  </si>
  <si>
    <t>KL001924/KL-TSR-8/375</t>
  </si>
  <si>
    <t>32AACFJ2596C1ZP</t>
  </si>
  <si>
    <t>pauljose7@gmail.com</t>
  </si>
  <si>
    <t>CJ007</t>
  </si>
  <si>
    <t>J.M.J. KURIALASSERIL AGENCIES</t>
  </si>
  <si>
    <t>XXVI/364(1) NEAR T.M.M. HOSPITAL</t>
  </si>
  <si>
    <t>NEAR T.M.M. HOSPITAL</t>
  </si>
  <si>
    <t>AAFFK9900N</t>
  </si>
  <si>
    <t>MR. JACOB JOSEPH</t>
  </si>
  <si>
    <t>0469-2602787</t>
  </si>
  <si>
    <t>KL-PTA-134419/20</t>
  </si>
  <si>
    <t>KL-PTA-134420/21</t>
  </si>
  <si>
    <t>32AAFFK9900N1Z4</t>
  </si>
  <si>
    <t>kurialasserilagencies@gmail.com</t>
  </si>
  <si>
    <t>CJ008</t>
  </si>
  <si>
    <t>J.S.T. AGENCIES</t>
  </si>
  <si>
    <t>X/1236/14,15,16,17</t>
  </si>
  <si>
    <t>KOLLANUR ANTONY SONS BUILDING</t>
  </si>
  <si>
    <t>KOPPEN LANE</t>
  </si>
  <si>
    <t>20B-KL-TSR-123649</t>
  </si>
  <si>
    <t>21B-KL-TSR-123650</t>
  </si>
  <si>
    <t>32AABFJ7999Q1ZG</t>
  </si>
  <si>
    <t>jstagencies2021@gmail.com</t>
  </si>
  <si>
    <t>CK002</t>
  </si>
  <si>
    <t>KALPANA PHARMACEUTICALS</t>
  </si>
  <si>
    <t>X/657/A, CA- MED TOWER</t>
  </si>
  <si>
    <t>PALLIKULAM ROAD,NEAR CHALDEAN CENTRE,</t>
  </si>
  <si>
    <t>AAEFK8185A</t>
  </si>
  <si>
    <t>WLF21B2024KL000815</t>
  </si>
  <si>
    <t>WLF20B2024KL000842</t>
  </si>
  <si>
    <t>32AAEFK8185A1ZL</t>
  </si>
  <si>
    <t>kalpanatcr@gmail.com</t>
  </si>
  <si>
    <t>CK003</t>
  </si>
  <si>
    <t>KARTHIKA PHARMACEUTICAL DISTRIBUTORS</t>
  </si>
  <si>
    <t>UNITY TOWERS,</t>
  </si>
  <si>
    <t>STADIUM ROAD,</t>
  </si>
  <si>
    <t>AAGFK4704R</t>
  </si>
  <si>
    <t>TIRUVALLA</t>
  </si>
  <si>
    <t>3-62/20B</t>
  </si>
  <si>
    <t>3-63/21B</t>
  </si>
  <si>
    <t>32AAGFK4704R1Z3</t>
  </si>
  <si>
    <t>karthikapharma@yahoo.com</t>
  </si>
  <si>
    <t>CK004</t>
  </si>
  <si>
    <t>KAVITHA DRUG LINES</t>
  </si>
  <si>
    <t>18/488,489,488 A6,A7,M M ALI ROAD, BILAL BUILDING</t>
  </si>
  <si>
    <t>AADFK0063C</t>
  </si>
  <si>
    <t>20B/2023</t>
  </si>
  <si>
    <t>20B/2001</t>
  </si>
  <si>
    <t>32AADFK0063C1Z5</t>
  </si>
  <si>
    <t>jpkavithacalicut@gmail.com</t>
  </si>
  <si>
    <t>32AAFCD4589H2ZI</t>
  </si>
  <si>
    <t>kddekm@gmail.com</t>
  </si>
  <si>
    <t>CK006</t>
  </si>
  <si>
    <t>KERALA TRADE WINGS</t>
  </si>
  <si>
    <t>18/1010,B ZAMORIL COLLEGE</t>
  </si>
  <si>
    <t>NORTH ROAD</t>
  </si>
  <si>
    <t>AACFK7769C</t>
  </si>
  <si>
    <t>150298/20B</t>
  </si>
  <si>
    <t>150299/21B</t>
  </si>
  <si>
    <t>32AACFK7769C1ZF</t>
  </si>
  <si>
    <t>ktwpharma@gmail.com</t>
  </si>
  <si>
    <t>CK007</t>
  </si>
  <si>
    <t>KEYEM ASSOCIATES</t>
  </si>
  <si>
    <t>PARAPPUR ROAD</t>
  </si>
  <si>
    <t>KOTTAKKAL</t>
  </si>
  <si>
    <t>AAGFK1326D</t>
  </si>
  <si>
    <t>KOTTAKAL</t>
  </si>
  <si>
    <t>111471/20B</t>
  </si>
  <si>
    <t>111472/21B</t>
  </si>
  <si>
    <t>32AAGFK1326D1Z0</t>
  </si>
  <si>
    <t>keyempharma@yahoo.com</t>
  </si>
  <si>
    <t>CK008</t>
  </si>
  <si>
    <t>KOOTIPARAMBIL COMBINES</t>
  </si>
  <si>
    <t>OPP.MAR THOMA ACADEMY</t>
  </si>
  <si>
    <t>THIRUVALA .R.S.P.O</t>
  </si>
  <si>
    <t>AABFK9194J</t>
  </si>
  <si>
    <t>20B/123097</t>
  </si>
  <si>
    <t>21B/123098</t>
  </si>
  <si>
    <t>32AABFK9194J1Z2</t>
  </si>
  <si>
    <t>kooticomb@kooticomb.in</t>
  </si>
  <si>
    <t>CK009</t>
  </si>
  <si>
    <t>KOTTAYAM DRUG HOUSE</t>
  </si>
  <si>
    <t>KDH BUILDING,IX/1437</t>
  </si>
  <si>
    <t>COLLWCTORATE P.O,K.K.ROAD</t>
  </si>
  <si>
    <t>AACFK4345C</t>
  </si>
  <si>
    <t>20B/WLF20B2023/KL002080</t>
  </si>
  <si>
    <t>21B/WLF21B2023/KL002054</t>
  </si>
  <si>
    <t>32AACFK4345C1ZX</t>
  </si>
  <si>
    <t>kdhcare@gmail.com</t>
  </si>
  <si>
    <t>CK010</t>
  </si>
  <si>
    <t>K.N.MATHEW &amp; ASSOCIATES</t>
  </si>
  <si>
    <t>P.B.NO.257, VADAKKUMBHAGAM</t>
  </si>
  <si>
    <t>BIG BAZAR,</t>
  </si>
  <si>
    <t>AACFK9838N</t>
  </si>
  <si>
    <t>KL-KLM-20B/ 153477</t>
  </si>
  <si>
    <t>KL-KLM-21B/ 153478</t>
  </si>
  <si>
    <t>32AACFK9838N1ZU</t>
  </si>
  <si>
    <t>knmathewassociates@gmail.com</t>
  </si>
  <si>
    <t>CK011</t>
  </si>
  <si>
    <t>KEERTHI DRUG LINES</t>
  </si>
  <si>
    <t>X/89(1),NANDANAM,BLOCK OFFICE ROAD</t>
  </si>
  <si>
    <t>KALPETTA,P.O.,WAYANAD,KERELA</t>
  </si>
  <si>
    <t>AANFK5241N</t>
  </si>
  <si>
    <t>KALPETTA</t>
  </si>
  <si>
    <t>KL-WYD-12/31</t>
  </si>
  <si>
    <t>KL-WYD-12/32</t>
  </si>
  <si>
    <t>32AANFK5241N1Z2</t>
  </si>
  <si>
    <t>keerthidruglines@gmail.com</t>
  </si>
  <si>
    <t>CK013</t>
  </si>
  <si>
    <t>K K DISTRIBUTORS</t>
  </si>
  <si>
    <t>X/344A, GOVINDAM</t>
  </si>
  <si>
    <t>KALIKULAM-CHERTHALA</t>
  </si>
  <si>
    <t>AHKPP9730F</t>
  </si>
  <si>
    <t>CHERTHALA</t>
  </si>
  <si>
    <t>MR. P. KRISHNA KUMAR</t>
  </si>
  <si>
    <t>0476-2815637</t>
  </si>
  <si>
    <t>0476-3290304</t>
  </si>
  <si>
    <t>WLF21B2023KL002204</t>
  </si>
  <si>
    <t>WLF20B2023KL002231</t>
  </si>
  <si>
    <t>32AARFK6482H1ZY</t>
  </si>
  <si>
    <t>kkcherthala@gmail.com</t>
  </si>
  <si>
    <t>CK014</t>
  </si>
  <si>
    <t>KERALA DRUG DISTRIBUTORS (A DIVISION OF DPDL)</t>
  </si>
  <si>
    <t>39/627B, DADHA ARCADE,</t>
  </si>
  <si>
    <t>MONASTRY ROAD, ERNAKULAM,</t>
  </si>
  <si>
    <t>WLF21B2025KL001584</t>
  </si>
  <si>
    <t>WLF20B2025KL001614</t>
  </si>
  <si>
    <t>CK015</t>
  </si>
  <si>
    <t>KINGS PHARMACEUTICAL DISTRIBUTORS</t>
  </si>
  <si>
    <t>66/1728,1 ST FLOOR BEERANKUNJU ROAD , ERNAKULAM</t>
  </si>
  <si>
    <t>Ernakulam-682018</t>
  </si>
  <si>
    <t>20B/148034</t>
  </si>
  <si>
    <t>21B/148035</t>
  </si>
  <si>
    <t>32AACFK3605R1Z9</t>
  </si>
  <si>
    <t>kingspharmaekm@gmail.com</t>
  </si>
  <si>
    <t>CL001</t>
  </si>
  <si>
    <t>LAMY AGENCIES</t>
  </si>
  <si>
    <t>XIII/1669A,LAMY ARCADE</t>
  </si>
  <si>
    <t>CHELLIYOZHUKKAM ROAD</t>
  </si>
  <si>
    <t>AAAFL7007L</t>
  </si>
  <si>
    <t>WLF20B2024KL000581</t>
  </si>
  <si>
    <t>WLF21B2024KL000558</t>
  </si>
  <si>
    <t>32AAAFL7007L1ZI</t>
  </si>
  <si>
    <t>lamyktm1979@gmail.com</t>
  </si>
  <si>
    <t>CL002</t>
  </si>
  <si>
    <t>LEO PHARMA</t>
  </si>
  <si>
    <t>CW 3XV/2829A</t>
  </si>
  <si>
    <t>HAJI BUILDING,FORT ROAD KANNUR</t>
  </si>
  <si>
    <t>AABFL8169J</t>
  </si>
  <si>
    <t>KL-KNR13/149/20B</t>
  </si>
  <si>
    <t>KL-KNR13/150/21B</t>
  </si>
  <si>
    <t>32AABFL8169J1Z4</t>
  </si>
  <si>
    <t>leopharmakannur@gmail.com</t>
  </si>
  <si>
    <t>CL003</t>
  </si>
  <si>
    <t>LEO PHARMA DISTRIBUTORS PVT. LTD</t>
  </si>
  <si>
    <t>17/18/C, LEO LOGISTICS HUB,</t>
  </si>
  <si>
    <t>ELAMTHURUTHY, PUTHUR ROAD,</t>
  </si>
  <si>
    <t>KUTTANELLUR P O, THRISSUR, KERALA-680014</t>
  </si>
  <si>
    <t>WLF21B2023KL001676</t>
  </si>
  <si>
    <t>WLF20B2023KL001692</t>
  </si>
  <si>
    <t>CL004</t>
  </si>
  <si>
    <t>LEKSHMI DRUG HOUSE</t>
  </si>
  <si>
    <t>TC-27/1011, GROUND &amp; 1ST FLOOR PALAYAM</t>
  </si>
  <si>
    <t>PARRIS ROAD,VIKAS BHAVAN P.O.</t>
  </si>
  <si>
    <t>20B-KL-TVM-116735</t>
  </si>
  <si>
    <t>21B-KL-TVM-116736</t>
  </si>
  <si>
    <t>32AQNPK9012B1Z8</t>
  </si>
  <si>
    <t>ldhsuresh@gmail.com</t>
  </si>
  <si>
    <t>CM001</t>
  </si>
  <si>
    <t>M.K.PHARMA</t>
  </si>
  <si>
    <t>SAZMEERA BUILDING</t>
  </si>
  <si>
    <t>SASTHRI ROAD,</t>
  </si>
  <si>
    <t>AAIFM0370M</t>
  </si>
  <si>
    <t>20B/153477</t>
  </si>
  <si>
    <t>21B/153478</t>
  </si>
  <si>
    <t>32AAIFM0370M1ZB</t>
  </si>
  <si>
    <t>mkpharmaktm@gmail.com</t>
  </si>
  <si>
    <t>CM003</t>
  </si>
  <si>
    <t>MALABAR PHARMA</t>
  </si>
  <si>
    <t>7/559/II ND FLOOR</t>
  </si>
  <si>
    <t>THARIFF BUILDING, MALLAPURAM ROAD,TIRUR</t>
  </si>
  <si>
    <t>AAFFM0431L</t>
  </si>
  <si>
    <t>TIRUR</t>
  </si>
  <si>
    <t>WLF20B2024KL001801</t>
  </si>
  <si>
    <t>WLF21B2024KL001753</t>
  </si>
  <si>
    <t>32AAFFM0431L1ZM</t>
  </si>
  <si>
    <t>malabarpharmatirur@gmail.com</t>
  </si>
  <si>
    <t>CM004</t>
  </si>
  <si>
    <t>MALLAPPURAM DRUG LINES</t>
  </si>
  <si>
    <t>DOWN HILL</t>
  </si>
  <si>
    <t>KOTTAKAL ROAD</t>
  </si>
  <si>
    <t>AAEFM3804C</t>
  </si>
  <si>
    <t>KL-MLP-124987</t>
  </si>
  <si>
    <t>KL-MLP-124988</t>
  </si>
  <si>
    <t>32AAEFM3804C1ZZ</t>
  </si>
  <si>
    <t>mdc.mdlmpm@yahoo.com</t>
  </si>
  <si>
    <t>CM005</t>
  </si>
  <si>
    <t>MARVEL AGENCIES</t>
  </si>
  <si>
    <t>M C ROAD</t>
  </si>
  <si>
    <t>CHENGANNUR</t>
  </si>
  <si>
    <t>AAEFM0374K</t>
  </si>
  <si>
    <t>KL-ALP-116671</t>
  </si>
  <si>
    <t>KL-ALP-116672</t>
  </si>
  <si>
    <t>32AAEFM0374K1ZF</t>
  </si>
  <si>
    <t>marvel.agencies.chengannur1@gmail.com</t>
  </si>
  <si>
    <t>CM006</t>
  </si>
  <si>
    <t>MEYON PHARMA</t>
  </si>
  <si>
    <t>60/3494, APCO TOWER</t>
  </si>
  <si>
    <t>JAIL ROAD, KOZHIKODE</t>
  </si>
  <si>
    <t>AADFM8671Q</t>
  </si>
  <si>
    <t>20B; KL-KKD-153337,</t>
  </si>
  <si>
    <t>21B; KL-KKD-153338</t>
  </si>
  <si>
    <t>32AADFM8671Q1ZO</t>
  </si>
  <si>
    <t>meyonclt@gmail.com</t>
  </si>
  <si>
    <t>CM008</t>
  </si>
  <si>
    <t>MEDI PHARMA SPECIALITY</t>
  </si>
  <si>
    <t>17/1209 1FLOOR,MADHAV MANSION</t>
  </si>
  <si>
    <t>JAIL ROAD,PUTHIYARA PO,</t>
  </si>
  <si>
    <t>AAYFM3201D</t>
  </si>
  <si>
    <t>MS. SUMA. K</t>
  </si>
  <si>
    <t>0495 2727104</t>
  </si>
  <si>
    <t>KL-KKD104416/20B</t>
  </si>
  <si>
    <t>KL-KKD104417/21B</t>
  </si>
  <si>
    <t>32AAYFM3201D1ZM</t>
  </si>
  <si>
    <t>medispeciality@gmail.com</t>
  </si>
  <si>
    <t>CM010</t>
  </si>
  <si>
    <t>MEDIGEN DRUGS</t>
  </si>
  <si>
    <t>1 FLOOR, T C 7/685(7)</t>
  </si>
  <si>
    <t>LEELA PLAZA, ULLOOR MEDICAL PO</t>
  </si>
  <si>
    <t>AARFM0784E</t>
  </si>
  <si>
    <t>MR. RAHUL</t>
  </si>
  <si>
    <t>0471-3210115</t>
  </si>
  <si>
    <t>36/20B/2011</t>
  </si>
  <si>
    <t>37/20B/2011</t>
  </si>
  <si>
    <t>CM011</t>
  </si>
  <si>
    <t>M.V. GANAPATHY IYER &amp; SONS</t>
  </si>
  <si>
    <t>T.C. 3/122, J C HEIGHTS</t>
  </si>
  <si>
    <t>PARUTHIPPARA</t>
  </si>
  <si>
    <t>AADFM5902E</t>
  </si>
  <si>
    <t>0471-3312222</t>
  </si>
  <si>
    <t>145457/20B</t>
  </si>
  <si>
    <t>145458/21B</t>
  </si>
  <si>
    <t>32AADFM5902E1ZT</t>
  </si>
  <si>
    <t>mvgtrivandrum@gmail.com</t>
  </si>
  <si>
    <t>BANGALORE</t>
  </si>
  <si>
    <t>PLOT NO-37,(CA),147-151-279-281,G&amp;M FLR,</t>
  </si>
  <si>
    <t>I &amp; II FLR,K IAD B.JIGANI-BOMMASANDRA</t>
  </si>
  <si>
    <t>KARNATAKA</t>
  </si>
  <si>
    <t>29AABCM2131N1ZE</t>
  </si>
  <si>
    <t>HOUSR</t>
  </si>
  <si>
    <t>TAMIL NADU</t>
  </si>
  <si>
    <t>SLD/1921/20B</t>
  </si>
  <si>
    <t>SLD/1813/21B</t>
  </si>
  <si>
    <t>33AABCM2131N1ZP</t>
  </si>
  <si>
    <t>CM021</t>
  </si>
  <si>
    <t>MICRO LABS LIMITED - JIGANI</t>
  </si>
  <si>
    <t>KA-B62-20B-122140</t>
  </si>
  <si>
    <t>KA-B62-21B-122141</t>
  </si>
  <si>
    <t>CM024</t>
  </si>
  <si>
    <t>MICRO LABS LIMITED - HOSUR</t>
  </si>
  <si>
    <t>SURVEY NO. 1113/2 &amp; 1114</t>
  </si>
  <si>
    <t>ALASANATHAM VILLAGE,CHENNATHUR PANCHAYAT</t>
  </si>
  <si>
    <t>hosurdepot@microlabs.in</t>
  </si>
  <si>
    <t>CM026</t>
  </si>
  <si>
    <t>MEDILINES PHARMA</t>
  </si>
  <si>
    <t>SAHIL PLAZA, DOOR NO.711/XXV</t>
  </si>
  <si>
    <t>ICO JUNCTION, NEAR UDAYAGIRI HOSPITAL</t>
  </si>
  <si>
    <t>PERUNNA</t>
  </si>
  <si>
    <t>CHENGANASSERY</t>
  </si>
  <si>
    <t>KL-KTM-101201/20/2014</t>
  </si>
  <si>
    <t>KL-KTM-101202/20/2014</t>
  </si>
  <si>
    <t>32ADOPV9888Q1Z0</t>
  </si>
  <si>
    <t>medilinespharma@gmail.com</t>
  </si>
  <si>
    <t>CM027</t>
  </si>
  <si>
    <t>MANOJ PHARMACEUTICALS</t>
  </si>
  <si>
    <t>60/4446B,60/4446C,60/4446D</t>
  </si>
  <si>
    <t>KRISHNA, MANOJ ARCADE, Z.C. NORTH</t>
  </si>
  <si>
    <t>CHINDAVALAPPU</t>
  </si>
  <si>
    <t>WLF20B2024KL000327</t>
  </si>
  <si>
    <t>WLF21B2024KL000318</t>
  </si>
  <si>
    <t>32AAEFM4730B1ZY</t>
  </si>
  <si>
    <t>manojpharmaclt@gmail.com</t>
  </si>
  <si>
    <t>CM028</t>
  </si>
  <si>
    <t>MUKALUVILAYIL AGENCIES</t>
  </si>
  <si>
    <t>NEAR R.D.O. OFFICE</t>
  </si>
  <si>
    <t>ADOOR</t>
  </si>
  <si>
    <t>KA-PTA-3-146/20B</t>
  </si>
  <si>
    <t>KA-PTA-3-147/21B</t>
  </si>
  <si>
    <t>32AAIFM1587G1ZB</t>
  </si>
  <si>
    <t>mukaluvilayilagencies@gmail.com</t>
  </si>
  <si>
    <t>CM030</t>
  </si>
  <si>
    <t>MEDICALINES PHARMA DISTRIBUTORS, KARUNAGAPPALLY</t>
  </si>
  <si>
    <t>554, VALIYAVILAYIL TOWER, PARTY OFFICE ROAD</t>
  </si>
  <si>
    <t>K.PIII/1949,PHARMA DISTRIBUTORS,OPP:CPM PARTY OFF.</t>
  </si>
  <si>
    <t>NEAR A.M HOSPITAL, KARUNAGAPPALLY-690518</t>
  </si>
  <si>
    <t>149071/20B/2020</t>
  </si>
  <si>
    <t>149072/21B/2020</t>
  </si>
  <si>
    <t>32AOFPA5211E1ZV</t>
  </si>
  <si>
    <t>medicalineskply@gmail.com</t>
  </si>
  <si>
    <t>CM031</t>
  </si>
  <si>
    <t>MEDIGEN MEDCARE PVT. LTD.</t>
  </si>
  <si>
    <t>FOURTH FLOOR, XII/85A-27</t>
  </si>
  <si>
    <t>KOHINOOR ARCADE, SANKRANTHI JUNCTION</t>
  </si>
  <si>
    <t>PERUMBAIKAD VILLAGE, KOTTAYAM, KERALA, 686028</t>
  </si>
  <si>
    <t>0481 2562469</t>
  </si>
  <si>
    <t>20B/KL-KTM-118073</t>
  </si>
  <si>
    <t>21B/KL-KTM-118075</t>
  </si>
  <si>
    <t>32AAMCM7404R4ZV</t>
  </si>
  <si>
    <t>medigenkottayam@hotmail.com</t>
  </si>
  <si>
    <t>CM032</t>
  </si>
  <si>
    <t>MEDILAND DRUGS</t>
  </si>
  <si>
    <t>399,405/XV,MEDILAND</t>
  </si>
  <si>
    <t>M.C.ROAD,THIRUVALLA, PATHANAMTHITTA</t>
  </si>
  <si>
    <t>20B/116637</t>
  </si>
  <si>
    <t>21B/116638</t>
  </si>
  <si>
    <t>32AADFM0995M1Z1</t>
  </si>
  <si>
    <t>medilanddrugs@yahoo.in</t>
  </si>
  <si>
    <t>CM034</t>
  </si>
  <si>
    <t>MATHA PHARMA</t>
  </si>
  <si>
    <t>MATHA PHARMA,XII/1071 VARAPUZHA BUILDING,</t>
  </si>
  <si>
    <t>PARK LANE ROAD, KOTTAYAM, KERALA</t>
  </si>
  <si>
    <t>20B/149120</t>
  </si>
  <si>
    <t>21B/149121</t>
  </si>
  <si>
    <t>32AAKFM9631P1ZP</t>
  </si>
  <si>
    <t>mathapharma@gmail.com</t>
  </si>
  <si>
    <t>CM036</t>
  </si>
  <si>
    <t>DEVI PHARMA WELLNESS PVT LTD</t>
  </si>
  <si>
    <t>TC NO. 82/3963, DEVI BUILDING,</t>
  </si>
  <si>
    <t>CHIRAKULAM ROAD, GPO,</t>
  </si>
  <si>
    <t>THIRUVANANTHAPURAM 695001</t>
  </si>
  <si>
    <t>WLF20B2024KL001126</t>
  </si>
  <si>
    <t>WLF21B2024KL001095</t>
  </si>
  <si>
    <t>32AAKCD9516H1ZL</t>
  </si>
  <si>
    <t>CM037</t>
  </si>
  <si>
    <t>MURUKAN &amp; CO.</t>
  </si>
  <si>
    <t>UPRA-130 C, TC82/4836, TC82/4838</t>
  </si>
  <si>
    <t>CELLAR AND GROUND FLOOR, NEAR EMPLOYMENT EXCHANGE,</t>
  </si>
  <si>
    <t>PRS COURT, STATUE JUNCTION, THIRUVANANTHANPURAM</t>
  </si>
  <si>
    <t>WLF20B2023KL002201</t>
  </si>
  <si>
    <t>WLF21B2023KL002174</t>
  </si>
  <si>
    <t>32ABMFM8592Q1Z9</t>
  </si>
  <si>
    <t>murukan.and.co@gmail.com</t>
  </si>
  <si>
    <t>CM039</t>
  </si>
  <si>
    <t>MATHEVAN PHARMACEUTICAL DISTRIBUTORS</t>
  </si>
  <si>
    <t>TC 46/3150, Kailas Judge Road,</t>
  </si>
  <si>
    <t>Opp. QRS,Karamana</t>
  </si>
  <si>
    <t>WLF20B2024KL001319</t>
  </si>
  <si>
    <t>WLF21B2024KL001281</t>
  </si>
  <si>
    <t>32AAWFM9754B1ZY</t>
  </si>
  <si>
    <t>mathevanpharma@gmail.com</t>
  </si>
  <si>
    <t>CN004</t>
  </si>
  <si>
    <t>NEW SUJITH PHARMA</t>
  </si>
  <si>
    <t>XV/187,189 Jubilee Road,</t>
  </si>
  <si>
    <t>Perintalmanna</t>
  </si>
  <si>
    <t>20B/127735</t>
  </si>
  <si>
    <t>21B/127736</t>
  </si>
  <si>
    <t>32AAEFN6641C1ZP</t>
  </si>
  <si>
    <t>sujithpharma@gmail.com</t>
  </si>
  <si>
    <t>CO004</t>
  </si>
  <si>
    <t>OCEAN PHARMA</t>
  </si>
  <si>
    <t>3/845, OCEAN PHARMA, POONTHOPPU WARD</t>
  </si>
  <si>
    <t>AVALOOKUNNU PO, Alappuzha</t>
  </si>
  <si>
    <t>21B/KL-ALP-133559</t>
  </si>
  <si>
    <t>20B/KL-ALP-133558</t>
  </si>
  <si>
    <t>32AAFFO8646P1ZN</t>
  </si>
  <si>
    <t>oceanpharmaalpy@gmail.com</t>
  </si>
  <si>
    <t>CP001</t>
  </si>
  <si>
    <t>PADMA PHARMACEUTICALS</t>
  </si>
  <si>
    <t>PALAVANGADI JUNCTION</t>
  </si>
  <si>
    <t>MULLAKAL,ALLEPY</t>
  </si>
  <si>
    <t>ABYPM6683N</t>
  </si>
  <si>
    <t>246/20B/79</t>
  </si>
  <si>
    <t>247/21B/79</t>
  </si>
  <si>
    <t>32ADYPM6683N1ZI</t>
  </si>
  <si>
    <t>padmapharmaceutical@gmail.com</t>
  </si>
  <si>
    <t>CP002</t>
  </si>
  <si>
    <t>PANIKULAM DRUGS</t>
  </si>
  <si>
    <t>ROSE BUILDING</t>
  </si>
  <si>
    <t>NEW CHURCH STREET,TRICHUR</t>
  </si>
  <si>
    <t>AACFP9662K</t>
  </si>
  <si>
    <t>119886/20B/2022</t>
  </si>
  <si>
    <t>119887/21B/2022</t>
  </si>
  <si>
    <t>32AACFP9662K1ZX</t>
  </si>
  <si>
    <t>panikulamdrugs11@gmail.com</t>
  </si>
  <si>
    <t>CP004</t>
  </si>
  <si>
    <t>PHARMA TRADE</t>
  </si>
  <si>
    <t>59/2249</t>
  </si>
  <si>
    <t>MANDRAM, PAYOLI LANE</t>
  </si>
  <si>
    <t>AADFP5110F</t>
  </si>
  <si>
    <t>152587/20B</t>
  </si>
  <si>
    <t>152588/21B</t>
  </si>
  <si>
    <t>32AADFP5110F1ZW</t>
  </si>
  <si>
    <t>pharma.trades@yahoo.com</t>
  </si>
  <si>
    <t>CP005</t>
  </si>
  <si>
    <t>PHARMCARE DISTRIBUTORS</t>
  </si>
  <si>
    <t>18/786 (1)</t>
  </si>
  <si>
    <t>KOZHIKODE ROAD,PERINTHALMANNA</t>
  </si>
  <si>
    <t>AAHFP6904F</t>
  </si>
  <si>
    <t>124349/20B</t>
  </si>
  <si>
    <t>124350/21B</t>
  </si>
  <si>
    <t>32AAHFP6904F1ZG</t>
  </si>
  <si>
    <t>pharmcarepmnadistributors@gmail.com</t>
  </si>
  <si>
    <t>CP006</t>
  </si>
  <si>
    <t>PRABHU &amp; COMPANY</t>
  </si>
  <si>
    <t>48/49 NEAR VAZHICHERY BRIDGE</t>
  </si>
  <si>
    <t>CHATHANAD WARD</t>
  </si>
  <si>
    <t>ALAPPUZHA, 688001</t>
  </si>
  <si>
    <t>21B/KL001234</t>
  </si>
  <si>
    <t>20B/KL001238</t>
  </si>
  <si>
    <t>32AACFP0834B1Z0</t>
  </si>
  <si>
    <t>prabhuandco80@gmail.com</t>
  </si>
  <si>
    <t>CP007</t>
  </si>
  <si>
    <t>PRAKASH PHARMACEUTICALS</t>
  </si>
  <si>
    <t>MUVATTUPUZHA ROAD</t>
  </si>
  <si>
    <t>THODUPUZHA</t>
  </si>
  <si>
    <t>AADFP5922F</t>
  </si>
  <si>
    <t>129256/20B</t>
  </si>
  <si>
    <t>129257/21B</t>
  </si>
  <si>
    <t>32AADFP5922F1ZK</t>
  </si>
  <si>
    <t>prakashpharma84@gmail.com</t>
  </si>
  <si>
    <t>CP008</t>
  </si>
  <si>
    <t>PROSPER BUSINESS CORPORATION</t>
  </si>
  <si>
    <t>111/51E,CALICUT ROAD</t>
  </si>
  <si>
    <t>NEAR PANDY AUTO MOBILES,VALANCHERY</t>
  </si>
  <si>
    <t>AADFP0514H</t>
  </si>
  <si>
    <t>VALANCHERY</t>
  </si>
  <si>
    <t>123120/20B</t>
  </si>
  <si>
    <t>123121/21B</t>
  </si>
  <si>
    <t>32AADFP0514H1ZU</t>
  </si>
  <si>
    <t>prosperbcvly1@gmail.com</t>
  </si>
  <si>
    <t>CP010</t>
  </si>
  <si>
    <t>PLASMA MEDICAL SPECIALITIES</t>
  </si>
  <si>
    <t>WARRIAM ROAD</t>
  </si>
  <si>
    <t>PEARL REGENCY HOTEL,NEAR KSRTC BUS STAND</t>
  </si>
  <si>
    <t>AHJPA5012C</t>
  </si>
  <si>
    <t>MR. AJI VAZHAPPILLY</t>
  </si>
  <si>
    <t>0487-2429363</t>
  </si>
  <si>
    <t>0487-2440168</t>
  </si>
  <si>
    <t>8/071/20B/2009</t>
  </si>
  <si>
    <t>8/072/21B/2009</t>
  </si>
  <si>
    <t>32AHJPA5012C1ZB</t>
  </si>
  <si>
    <t>plasmamedicals@gmail.com</t>
  </si>
  <si>
    <t>CP011</t>
  </si>
  <si>
    <t>PADMA PHARMACEUTICALS AND DISTRIBUTORS</t>
  </si>
  <si>
    <t>AMC XVIII/831C FIRST FLOOR, ILIOS ARCADE</t>
  </si>
  <si>
    <t>NEAR INDIRA JUNCTION, THATHAMPALLY P.O, ALAPPUZHA</t>
  </si>
  <si>
    <t>AMBALAPUZHA</t>
  </si>
  <si>
    <t>KL-ALP-128970/20B</t>
  </si>
  <si>
    <t>KL-ALP-128971/21B</t>
  </si>
  <si>
    <t>32AAYFP7448K1ZF</t>
  </si>
  <si>
    <t>CP012</t>
  </si>
  <si>
    <t>PARAGON AGENCY</t>
  </si>
  <si>
    <t>PHARMACEUTICAL DISTRIBUTORS ,</t>
  </si>
  <si>
    <t>VELLAKKINAR JUNCTION</t>
  </si>
  <si>
    <t>128240/20B/2018</t>
  </si>
  <si>
    <t>128241/21B/2018</t>
  </si>
  <si>
    <t>32AACFP3821E1ZT</t>
  </si>
  <si>
    <t>paragonagencyalpy@gmail.com</t>
  </si>
  <si>
    <t>CP013</t>
  </si>
  <si>
    <t>PHARMALINK</t>
  </si>
  <si>
    <t>PHARAMLINKPLAZA</t>
  </si>
  <si>
    <t>66/1089/90/91/92, KALABHAVAN ROAD</t>
  </si>
  <si>
    <t>WLF20B2025KL000668</t>
  </si>
  <si>
    <t>WLF21B2025KL000666</t>
  </si>
  <si>
    <t>32AADFP0197J1ZA</t>
  </si>
  <si>
    <t>plinkplaza@gmail.com</t>
  </si>
  <si>
    <t>CR002</t>
  </si>
  <si>
    <t>RAMAKRISHNA AGENCIES</t>
  </si>
  <si>
    <t>48/759 B, R K TOWER, NEAR Y M C A MARTHOMA CHURCH,</t>
  </si>
  <si>
    <t>KAVITHA I T C ROAD, CHATHANAD WARD, ALAPPUZHA-6880</t>
  </si>
  <si>
    <t>AADFR1627F</t>
  </si>
  <si>
    <t>RLF21B2023KL000792</t>
  </si>
  <si>
    <t>RLF20B2023KL000806</t>
  </si>
  <si>
    <t>32AADFR1627F1ZO</t>
  </si>
  <si>
    <t>rkagenciesanitha@gmail.com</t>
  </si>
  <si>
    <t>CR003</t>
  </si>
  <si>
    <t>REGAL PHARMACY</t>
  </si>
  <si>
    <t>45/1384, 45/1385, 45/1386, OV ROAD</t>
  </si>
  <si>
    <t>THALASSERY,</t>
  </si>
  <si>
    <t>KANNUR-670101</t>
  </si>
  <si>
    <t>WLF21B2023KL001812</t>
  </si>
  <si>
    <t>WLF20B2023KL001834</t>
  </si>
  <si>
    <t>32AACFR9612H1ZC</t>
  </si>
  <si>
    <t>regalpharmacytly@yahoo.com</t>
  </si>
  <si>
    <t>CR005</t>
  </si>
  <si>
    <t>REVATHEE JAYA MEDICALS</t>
  </si>
  <si>
    <t>14/452 K H BUILDING PARANNAKKAD</t>
  </si>
  <si>
    <t>WLF21/B2022KL000337</t>
  </si>
  <si>
    <t>WLE20/B2022KL000345</t>
  </si>
  <si>
    <t>32AACFR7968N1ZK</t>
  </si>
  <si>
    <t>rjmtir2009@gmail.com</t>
  </si>
  <si>
    <t>CR006</t>
  </si>
  <si>
    <t>ROYAL MEDICAL DISTRIBUTORS</t>
  </si>
  <si>
    <t>TC-18/2198,</t>
  </si>
  <si>
    <t>A&amp;Y COMPLEX,PALLIKULAM ROAD</t>
  </si>
  <si>
    <t>AACFR8351D</t>
  </si>
  <si>
    <t>1154/20B/CZ/96</t>
  </si>
  <si>
    <t>1155/21B/CZ/96</t>
  </si>
  <si>
    <t>32AACFR8351D1ZI</t>
  </si>
  <si>
    <t>mikuriakose@gmail.com</t>
  </si>
  <si>
    <t>CR007</t>
  </si>
  <si>
    <t>RELIANCE DRUGS</t>
  </si>
  <si>
    <t>ROOM NO.19/246(7),RELIANZ TOWER,</t>
  </si>
  <si>
    <t>VATTAKKARI GARDEN,PINANGODE ROAD</t>
  </si>
  <si>
    <t>AAJFR9256J</t>
  </si>
  <si>
    <t>MR. ASIF BABU</t>
  </si>
  <si>
    <t>04936-205595</t>
  </si>
  <si>
    <t>KL-WYD11WLF20B2024KL0008888525/20</t>
  </si>
  <si>
    <t>WLF21B2024KL000859</t>
  </si>
  <si>
    <t>32AAJFR9256J1ZS</t>
  </si>
  <si>
    <t>reliancedrugklpt@gmail.com</t>
  </si>
  <si>
    <t>CR008</t>
  </si>
  <si>
    <t>R.P. PHARMA</t>
  </si>
  <si>
    <t>THALAPPIL BUILDING</t>
  </si>
  <si>
    <t>K.K. JUNCTION,PONNANI</t>
  </si>
  <si>
    <t>AACFK6881H</t>
  </si>
  <si>
    <t>0494-2666578</t>
  </si>
  <si>
    <t>RLF21B2023KL000757</t>
  </si>
  <si>
    <t>RLF20B2023KL000771</t>
  </si>
  <si>
    <t>32AACFK6881H1ZA</t>
  </si>
  <si>
    <t>rppharmaponnani@gmail.com</t>
  </si>
  <si>
    <t>CR009</t>
  </si>
  <si>
    <t>RAGHULAL ENTERPRISES</t>
  </si>
  <si>
    <t>SAI COMPLEX, 11/442(2), 1ST FLOOR</t>
  </si>
  <si>
    <t>PENSIION STREET</t>
  </si>
  <si>
    <t>AACFR8039E</t>
  </si>
  <si>
    <t>0491-2534795</t>
  </si>
  <si>
    <t>0491-2534535</t>
  </si>
  <si>
    <t>KL001323/20B</t>
  </si>
  <si>
    <t>KL001317/21B</t>
  </si>
  <si>
    <t>32AACFR8039E1ZF</t>
  </si>
  <si>
    <t>raghulalenterprises@gmail.com</t>
  </si>
  <si>
    <t>rnremediess@gmail.com</t>
  </si>
  <si>
    <t>CR011</t>
  </si>
  <si>
    <t>RETNA PHARMA</t>
  </si>
  <si>
    <t>DOOR NO – 46/177,</t>
  </si>
  <si>
    <t>1ST FLOOR,RK BUILDING,</t>
  </si>
  <si>
    <t>CHAMAKKADA,KOLLAM – 691001</t>
  </si>
  <si>
    <t>WLF20B2023KL000827</t>
  </si>
  <si>
    <t>WLF21B2023KL000812</t>
  </si>
  <si>
    <t>32AXCPS5847G1ZC</t>
  </si>
  <si>
    <t>retnapharmaklm@gmail.com</t>
  </si>
  <si>
    <t>CR013</t>
  </si>
  <si>
    <t>R N REMEDIES</t>
  </si>
  <si>
    <t>51/2433,</t>
  </si>
  <si>
    <t>GRAND ICON</t>
  </si>
  <si>
    <t>NETHAJI ROAD, KANNUR CIRCLE</t>
  </si>
  <si>
    <t>WLF20B2024KLOO0763</t>
  </si>
  <si>
    <t>WLF2L82024K1000739</t>
  </si>
  <si>
    <t>32ABKFR1557J1Z1</t>
  </si>
  <si>
    <t>CS001</t>
  </si>
  <si>
    <t>SABARI ASSOCIATES</t>
  </si>
  <si>
    <t>ROOM NO.KMC.3/378</t>
  </si>
  <si>
    <t>NEAR MURALIMUKUNDA AUDITORIUM,A.T.ROAD,KASARGOD.</t>
  </si>
  <si>
    <t>ABBFS8438G</t>
  </si>
  <si>
    <t>21B/2023/KL001292</t>
  </si>
  <si>
    <t>20B/2023/KL001298</t>
  </si>
  <si>
    <t>32ABBFS8438G1Z6</t>
  </si>
  <si>
    <t>sabarikasaragod@gmail.com</t>
  </si>
  <si>
    <t>CS002</t>
  </si>
  <si>
    <t>SAKTHI AGENCIES</t>
  </si>
  <si>
    <t>MAIN ROAD</t>
  </si>
  <si>
    <t>PAYANNUR P O</t>
  </si>
  <si>
    <t>ADLPG1685M</t>
  </si>
  <si>
    <t>PAYANNUR</t>
  </si>
  <si>
    <t>142356/20B,</t>
  </si>
  <si>
    <t>142357/21B.</t>
  </si>
  <si>
    <t>32ADLPG1685M1ZB</t>
  </si>
  <si>
    <t>sakthipnr123@gmail.com</t>
  </si>
  <si>
    <t>CS003</t>
  </si>
  <si>
    <t>SANTHIRAJ DISTRIBUTORS</t>
  </si>
  <si>
    <t>PACHAIAPPA DURAI PLAZA</t>
  </si>
  <si>
    <t>11/448 (4), PENSION STREET,PALLAKAD</t>
  </si>
  <si>
    <t>ABDFS4858A</t>
  </si>
  <si>
    <t>133676/20B</t>
  </si>
  <si>
    <t>133677/21B</t>
  </si>
  <si>
    <t>32ABDFS4858A1ZG</t>
  </si>
  <si>
    <t>santhirajdistributors@gmail.com</t>
  </si>
  <si>
    <t>CS004</t>
  </si>
  <si>
    <t>SATHYA PHARMA</t>
  </si>
  <si>
    <t>DENNYS GROUNF FLOOR</t>
  </si>
  <si>
    <t>35/767-1, 35/767-2</t>
  </si>
  <si>
    <t>BROTHERS LANE, NEAR BIBLE TOWER</t>
  </si>
  <si>
    <t>20B2023KL002340</t>
  </si>
  <si>
    <t>21B2023KL002309</t>
  </si>
  <si>
    <t>32AAIFS9546B1Z8</t>
  </si>
  <si>
    <t>sathyapharma1991@gmail.com</t>
  </si>
  <si>
    <t>CS005</t>
  </si>
  <si>
    <t>SELMORE AGENCIES</t>
  </si>
  <si>
    <t>X/657/15,R.P.TOWER</t>
  </si>
  <si>
    <t>OPP.CHALDEAN CENTRE, PALLIKULAM ROAD,TRICHUR</t>
  </si>
  <si>
    <t>AAIFS8608Q</t>
  </si>
  <si>
    <t>WLF20B2025KL001288</t>
  </si>
  <si>
    <t>WLF21B2025KL001273</t>
  </si>
  <si>
    <t>32AAIFS8608Q1ZK</t>
  </si>
  <si>
    <t>selmoragenciestcr@gmail.com</t>
  </si>
  <si>
    <t>CS007</t>
  </si>
  <si>
    <t>SHANTHI MEDICALS</t>
  </si>
  <si>
    <t>BUILDING NO.X/264/5,</t>
  </si>
  <si>
    <t>AAFFS6348J</t>
  </si>
  <si>
    <t>141575/20B</t>
  </si>
  <si>
    <t>141576/21B</t>
  </si>
  <si>
    <t>32AAFFS6348J1Z0</t>
  </si>
  <si>
    <t>shantimdcls@gmail.com</t>
  </si>
  <si>
    <t>CS008</t>
  </si>
  <si>
    <t>SHIBILI DRUG HOUSE</t>
  </si>
  <si>
    <t>18/1080,</t>
  </si>
  <si>
    <t>MEYON BUILDING, JAIL ROAD</t>
  </si>
  <si>
    <t>11-0185/20B/2009</t>
  </si>
  <si>
    <t>11-0186/21B/2009</t>
  </si>
  <si>
    <t>shibilidrughouse@gmail.com</t>
  </si>
  <si>
    <t>CS009</t>
  </si>
  <si>
    <t>SHIFA PHARMA</t>
  </si>
  <si>
    <t>AFRAAN TC 25/3506</t>
  </si>
  <si>
    <t>UPPALAM ROAD</t>
  </si>
  <si>
    <t>AAWFS4523N</t>
  </si>
  <si>
    <t>271/20B/2002</t>
  </si>
  <si>
    <t>272/21B/2002</t>
  </si>
  <si>
    <t>32AAWFS4523N1ZM</t>
  </si>
  <si>
    <t>shifapharmatvm@gmail.com</t>
  </si>
  <si>
    <t>CS010</t>
  </si>
  <si>
    <t>SHOBHA MEDICAL AGENCIES</t>
  </si>
  <si>
    <t>XI/730 (1) ROBINSON ROAD</t>
  </si>
  <si>
    <t>AAJFS1160L</t>
  </si>
  <si>
    <t>9/195/20B/2001</t>
  </si>
  <si>
    <t>9/196/21B/2001</t>
  </si>
  <si>
    <t>32AAJFS1160L1Z8</t>
  </si>
  <si>
    <t>shobhamedicals@gmail.com</t>
  </si>
  <si>
    <t>WLF20B2024KL002036</t>
  </si>
  <si>
    <t>WLF21B2024KL001980</t>
  </si>
  <si>
    <t>shreeenterpriseskerala@gmail.com</t>
  </si>
  <si>
    <t>CS012</t>
  </si>
  <si>
    <t>SHUBHA ENTERPRISES</t>
  </si>
  <si>
    <t>SRI RAM PET</t>
  </si>
  <si>
    <t>AAIFS9486J</t>
  </si>
  <si>
    <t>482/20B/87</t>
  </si>
  <si>
    <t>486/21B/87</t>
  </si>
  <si>
    <t>32AAIFS9486J1ZK</t>
  </si>
  <si>
    <t>shubhaentksd@gmail.com</t>
  </si>
  <si>
    <t>CS014</t>
  </si>
  <si>
    <t>SRI SABARI AGENCIES</t>
  </si>
  <si>
    <t>POST BOX NO.78,</t>
  </si>
  <si>
    <t>SUPER BAZZAR,KANNUR</t>
  </si>
  <si>
    <t>AAKFS1980M</t>
  </si>
  <si>
    <t>WLF20B2024KL001811</t>
  </si>
  <si>
    <t>WLF21B2024KL001763</t>
  </si>
  <si>
    <t>32AAKFS1980M1ZT</t>
  </si>
  <si>
    <t>srisabariagencies1996@gmail.com</t>
  </si>
  <si>
    <t>CS015</t>
  </si>
  <si>
    <t>STAR ENTERPRISES</t>
  </si>
  <si>
    <t>UNITIDE BUILDINGS,IST FLOOR</t>
  </si>
  <si>
    <t>M.C IX/1253/715C &amp; 1254/715DKADAPPAKADA,KOLLAM-691</t>
  </si>
  <si>
    <t>AAACU2578E</t>
  </si>
  <si>
    <t>20B/119211</t>
  </si>
  <si>
    <t>21B/119212</t>
  </si>
  <si>
    <t>32AAACU2578E1ZK</t>
  </si>
  <si>
    <t>starenterpriseskollam@ymail.com</t>
  </si>
  <si>
    <t>CS016</t>
  </si>
  <si>
    <t>STAR PHARMACEUTICALS</t>
  </si>
  <si>
    <t>20/53B, AL-MADINA SHOPPING CENTRE KAICHOONDI</t>
  </si>
  <si>
    <t>JUNCTION AVALOOKUNNU P.O</t>
  </si>
  <si>
    <t>ALLEPEY - 688006</t>
  </si>
  <si>
    <t>KL-ALP-124163</t>
  </si>
  <si>
    <t>KL-ALP-124164</t>
  </si>
  <si>
    <t>32AAPFS4711B1ZK</t>
  </si>
  <si>
    <t>staralpyaapfs4711b@gmail.com</t>
  </si>
  <si>
    <t>CS017</t>
  </si>
  <si>
    <t>STELLA AGENCIES</t>
  </si>
  <si>
    <t>33/1680G2,PAZHAYAKADAVIL BUILDINGS</t>
  </si>
  <si>
    <t>VIVEKANANDA ROAD,VENNALA P.O.</t>
  </si>
  <si>
    <t>ACDFS1117M</t>
  </si>
  <si>
    <t>132850/20B</t>
  </si>
  <si>
    <t>132851/21B</t>
  </si>
  <si>
    <t>32ACDFS1117M1ZB</t>
  </si>
  <si>
    <t>stellaagencies@gmail.com</t>
  </si>
  <si>
    <t>CS018</t>
  </si>
  <si>
    <t>STERLING PHARMA</t>
  </si>
  <si>
    <t>39/943, CHEMIST BHAVAN</t>
  </si>
  <si>
    <t>CHAVARA CENTER,</t>
  </si>
  <si>
    <t>AAIFS7779J</t>
  </si>
  <si>
    <t>KL-EKM-7/175</t>
  </si>
  <si>
    <t>KL-EKM-7/176</t>
  </si>
  <si>
    <t>32AAIFS7779J1ZK</t>
  </si>
  <si>
    <t>sterlingpharma2011@gmail.com</t>
  </si>
  <si>
    <t>CS019</t>
  </si>
  <si>
    <t>SUBRAMANYA AGENCIES</t>
  </si>
  <si>
    <t>RMJ COMPLEX (BLOCK 2)NEAR DR .V.C.NAYANAR HOS</t>
  </si>
  <si>
    <t>OLD BUSSTAND PAYYANUR</t>
  </si>
  <si>
    <t>AAJFS3355B</t>
  </si>
  <si>
    <t>KL-KNR-144468</t>
  </si>
  <si>
    <t>KL-KNR-144469</t>
  </si>
  <si>
    <t>32AAJFS3355B1ZK</t>
  </si>
  <si>
    <t>subramanyagencies@gmail.com</t>
  </si>
  <si>
    <t>CS021</t>
  </si>
  <si>
    <t>SAKTHI WHOLESALE</t>
  </si>
  <si>
    <t>DOOR NO.XIII/897(3) SAKTHI ARCADE</t>
  </si>
  <si>
    <t>LEO HOSPITAL ROAD,</t>
  </si>
  <si>
    <t>KALPETTA,WAYANAD DISTRICT-673121</t>
  </si>
  <si>
    <t>KL-WYD-20B-12/17</t>
  </si>
  <si>
    <t>KL-WYD-21B-12/18</t>
  </si>
  <si>
    <t>sakthiwholesalekpt@gmail.com</t>
  </si>
  <si>
    <t>CS022</t>
  </si>
  <si>
    <t>SREE BALAJI ASSOCIATES</t>
  </si>
  <si>
    <t>XVI/2036/808D,GOPALAKRISHNA ARACDES</t>
  </si>
  <si>
    <t>HOSPITAL ROAD,TALUKJUNCTION</t>
  </si>
  <si>
    <t>ACDFS5240H</t>
  </si>
  <si>
    <t>MR. JAYRAM / MR. RAJENDRAN</t>
  </si>
  <si>
    <t>KL-KLM-135552</t>
  </si>
  <si>
    <t>KL-KLM-135553</t>
  </si>
  <si>
    <t>32ACDFS5240H1ZE</t>
  </si>
  <si>
    <t>sreebalajiassociatesrj@gmail.com</t>
  </si>
  <si>
    <t>CS024</t>
  </si>
  <si>
    <t>SREE CHITRA ENTERPRISES</t>
  </si>
  <si>
    <t>T.C 27/3093(1,2,3,4,5,6,7) JB CENTRAL,</t>
  </si>
  <si>
    <t>OPPOSITE RESERVE BANK OF INDIA, BAKERY JUNCTION,</t>
  </si>
  <si>
    <t>TRIVANDRUM - 695 034</t>
  </si>
  <si>
    <t>0471 6630909</t>
  </si>
  <si>
    <t>RLF21B2022KL000410</t>
  </si>
  <si>
    <t>RLF20B2022KL000414</t>
  </si>
  <si>
    <t>32AAIFS5128D1ZI</t>
  </si>
  <si>
    <t>sreechitratvpm@gmail.com</t>
  </si>
  <si>
    <t>CS025</t>
  </si>
  <si>
    <t>SABARI ENTERPRISES</t>
  </si>
  <si>
    <t>IIND FLOOR EMBASSY COMPLEX</t>
  </si>
  <si>
    <t>N.C.C ROAD,THALASSERY</t>
  </si>
  <si>
    <t>AAJFS5434R</t>
  </si>
  <si>
    <t>0490-2320636</t>
  </si>
  <si>
    <t>134970/20B</t>
  </si>
  <si>
    <t>134971/21B</t>
  </si>
  <si>
    <t>32AAJFS5434R1ZN</t>
  </si>
  <si>
    <t>sabarient.tly@gmail.com</t>
  </si>
  <si>
    <t>CS026</t>
  </si>
  <si>
    <t>SUNANDA ENTERPRISES</t>
  </si>
  <si>
    <t>18/232</t>
  </si>
  <si>
    <t>A15 &amp; A16, FIRST FLOOR, DEIRA BAZAR</t>
  </si>
  <si>
    <t>KANDAMKULAM ROAD, TALI, CHALLAPPURAM P.O</t>
  </si>
  <si>
    <t>0495-2703444</t>
  </si>
  <si>
    <t>0495-2305444</t>
  </si>
  <si>
    <t>KL-KKD-101076</t>
  </si>
  <si>
    <t>KL/KKD-101077</t>
  </si>
  <si>
    <t>CS027</t>
  </si>
  <si>
    <t>STANDARD DISTRIBUTORS</t>
  </si>
  <si>
    <t>432, 1ST FLOOR, CSI SHOPPING CENTRE</t>
  </si>
  <si>
    <t>BAKER JUNCTION</t>
  </si>
  <si>
    <t>AAGFS8407D</t>
  </si>
  <si>
    <t>0481-2566422</t>
  </si>
  <si>
    <t>0481-2300029</t>
  </si>
  <si>
    <t>RLF20B2023KL001969 / 103134</t>
  </si>
  <si>
    <t>RLF21B2023KL001943 / 103135</t>
  </si>
  <si>
    <t>32AAGFS8407D1ZG</t>
  </si>
  <si>
    <t>standarddistributors@hotmail.com</t>
  </si>
  <si>
    <t>CS028</t>
  </si>
  <si>
    <t>SUJITH ASSOCIATES</t>
  </si>
  <si>
    <t>XV/188, JUBILEE ROAD</t>
  </si>
  <si>
    <t>MALAPPURAM DIST</t>
  </si>
  <si>
    <t>ABRFS1301A</t>
  </si>
  <si>
    <t>04933-227509</t>
  </si>
  <si>
    <t>04933-226488</t>
  </si>
  <si>
    <t>10-0150/20B/2009</t>
  </si>
  <si>
    <t>10-0151/21B/2009</t>
  </si>
  <si>
    <t>32ABRFS1301A1ZU</t>
  </si>
  <si>
    <t>CS029</t>
  </si>
  <si>
    <t>SOORYA DRUG HOUSE</t>
  </si>
  <si>
    <t>XXIV/168C,</t>
  </si>
  <si>
    <t>VAYATTATTIL TOWER, TAL, IDUKKI DIST.,</t>
  </si>
  <si>
    <t>PAN NO. ABCFS9644M</t>
  </si>
  <si>
    <t>159726/20B</t>
  </si>
  <si>
    <t>159727/21B</t>
  </si>
  <si>
    <t>32ABCFS9644M1ZQ</t>
  </si>
  <si>
    <t>sooryadh@gmail.com</t>
  </si>
  <si>
    <t>CS030</t>
  </si>
  <si>
    <t>STAR PHARMA</t>
  </si>
  <si>
    <t>32/349-2 PANAMANNA ROAD</t>
  </si>
  <si>
    <t>KANNIYAMPURAM PO, OTTAPPALAM</t>
  </si>
  <si>
    <t>0466 2249565</t>
  </si>
  <si>
    <t>WLF21B2022KL000224</t>
  </si>
  <si>
    <t>32ADLFS6671D1ZZ</t>
  </si>
  <si>
    <t>starpharmaotp@gmail.com</t>
  </si>
  <si>
    <t>CS032</t>
  </si>
  <si>
    <t>SREE PADMAM PHARMA &amp; AGENCIES</t>
  </si>
  <si>
    <t>T.C.25/3388</t>
  </si>
  <si>
    <t>CHAIRAKKULAM ROAD</t>
  </si>
  <si>
    <t>KL-TVM-140020</t>
  </si>
  <si>
    <t>KL-TVM-140021</t>
  </si>
  <si>
    <t>32AAJFS9745F1ZY</t>
  </si>
  <si>
    <t>sppapurchase2019@gmail.com</t>
  </si>
  <si>
    <t>CS033</t>
  </si>
  <si>
    <t>SHAFI DRUG HOUSE</t>
  </si>
  <si>
    <t>2ND FLOOR, 4/1259, SHAFI BUILDING,</t>
  </si>
  <si>
    <t>OPPOSITE BUS STAND, KOTTAKKAL,</t>
  </si>
  <si>
    <t>MALAPPURAM, KERALA, 676503</t>
  </si>
  <si>
    <t>KL-MLP-127093/20B/21</t>
  </si>
  <si>
    <t>KL-MLP-127094/21B/21</t>
  </si>
  <si>
    <t>32AEOFS7109E1Z1</t>
  </si>
  <si>
    <t>shafidrughouse@gmail.com</t>
  </si>
  <si>
    <t>CS034</t>
  </si>
  <si>
    <t>SOORYA PHARMA</t>
  </si>
  <si>
    <t>SOORYA TOWER, T.C 93/2679-2, KNRA-111,</t>
  </si>
  <si>
    <t>A.K.G LANE, OPP. KEPCO RESTAURANT, PETTAH P.O</t>
  </si>
  <si>
    <t>THIRUVANANTHAPURAM 694024</t>
  </si>
  <si>
    <t>152351/20B</t>
  </si>
  <si>
    <t>152352/21B</t>
  </si>
  <si>
    <t>32ABEFS9382A1ZA</t>
  </si>
  <si>
    <t>sooryapharma2005@gmail.com</t>
  </si>
  <si>
    <t>CS035</t>
  </si>
  <si>
    <t>SWAPNA PHARMA</t>
  </si>
  <si>
    <t>XIX-947/B,B1&amp;B5</t>
  </si>
  <si>
    <t>AL AMEEMI COMPLEX, VILLAGE OFFICE-S.S. TEMPLE ROAD</t>
  </si>
  <si>
    <t>PAYYANNUR-670307</t>
  </si>
  <si>
    <t>WLF20B2025KL000401</t>
  </si>
  <si>
    <t>WLF21B2025KL000402</t>
  </si>
  <si>
    <t>32ADIFS7685N1Z9</t>
  </si>
  <si>
    <t>swapnapharma1981.pnr@gmail.com</t>
  </si>
  <si>
    <t>CS037</t>
  </si>
  <si>
    <t>SUNANDA ASSOCIATES</t>
  </si>
  <si>
    <t>FIRST FLOOR, 60/4008-A5,A6,A7,A8</t>
  </si>
  <si>
    <t>Essay Tower, Jail Road, Puthiyara</t>
  </si>
  <si>
    <t>KOZHIKODE, KERALA, 673004</t>
  </si>
  <si>
    <t>20B/2023/KL000703</t>
  </si>
  <si>
    <t>21B/2023/KL000689</t>
  </si>
  <si>
    <t>32AAIFS9541G1Z3</t>
  </si>
  <si>
    <t>suntrak10@gmail.com</t>
  </si>
  <si>
    <t>CS038</t>
  </si>
  <si>
    <t>SHREE ENTERPRISES</t>
  </si>
  <si>
    <t>TC 86/4642, 86/4642(1), 86/4643</t>
  </si>
  <si>
    <t>Malloor Road Thiruvananthapuram</t>
  </si>
  <si>
    <t>32AAKCD9516H2ZK</t>
  </si>
  <si>
    <t>CS039</t>
  </si>
  <si>
    <t>SHEEN PHARMA</t>
  </si>
  <si>
    <t>Sheen Tower,Nilambur road</t>
  </si>
  <si>
    <t>Manjeri-676121</t>
  </si>
  <si>
    <t>20B/157091</t>
  </si>
  <si>
    <t>21B/157092</t>
  </si>
  <si>
    <t>32ACJFS5202K1Z7</t>
  </si>
  <si>
    <t>sheenmji@gmail.com</t>
  </si>
  <si>
    <t>CT001</t>
  </si>
  <si>
    <t>THE CALICUT DRUG LINES</t>
  </si>
  <si>
    <t>1/1143-A8,</t>
  </si>
  <si>
    <t>JAIL ROAD POST BOX NO.536,CALICUT</t>
  </si>
  <si>
    <t>AABFC7587R</t>
  </si>
  <si>
    <t>20B/113989</t>
  </si>
  <si>
    <t>21B/113990</t>
  </si>
  <si>
    <t>32AABFC7587R1ZT</t>
  </si>
  <si>
    <t>cdlclt2002@gmail.com</t>
  </si>
  <si>
    <t>CT002</t>
  </si>
  <si>
    <t>THE CANNANORE DRUG CENTRE</t>
  </si>
  <si>
    <t>DOOR NO.TV 33/394 TO TV 33/398</t>
  </si>
  <si>
    <t>PLATINUM CENTRE GROUND FLOOR BANK ROAD</t>
  </si>
  <si>
    <t>AABFT4876A</t>
  </si>
  <si>
    <t>KL000154/21B</t>
  </si>
  <si>
    <t>KL000155/20B</t>
  </si>
  <si>
    <t>32AABFT4876A1ZH</t>
  </si>
  <si>
    <t>cdcknr@gmail.com</t>
  </si>
  <si>
    <t>CT003</t>
  </si>
  <si>
    <t>THE CANNANORE DRUG HOUSE</t>
  </si>
  <si>
    <t>AABFT3718K</t>
  </si>
  <si>
    <t>WLF20B2023KL001490</t>
  </si>
  <si>
    <t>WLF21B2023KL001480</t>
  </si>
  <si>
    <t>32AABFT3718K1Z9</t>
  </si>
  <si>
    <t>cdhknr@gmail.com</t>
  </si>
  <si>
    <t>CT004</t>
  </si>
  <si>
    <t>THE CANNORE DRUG LINES</t>
  </si>
  <si>
    <t>BANK ROAD</t>
  </si>
  <si>
    <t>PO BOX NO: 1,KASARGOD</t>
  </si>
  <si>
    <t>AABFT4877B</t>
  </si>
  <si>
    <t>WLF20B2025KL000147</t>
  </si>
  <si>
    <t>WLF21B2025KL000151</t>
  </si>
  <si>
    <t>32AABFT4877B1ZE</t>
  </si>
  <si>
    <t>cdlkas1@gmail.com</t>
  </si>
  <si>
    <t>CT005</t>
  </si>
  <si>
    <t>TRICHUR DRUG CENTRE</t>
  </si>
  <si>
    <t>AISWARY</t>
  </si>
  <si>
    <t>TC 35/4900 MANNATH LANE</t>
  </si>
  <si>
    <t>AABFT3714F</t>
  </si>
  <si>
    <t>574/20B</t>
  </si>
  <si>
    <t>575/20B</t>
  </si>
  <si>
    <t>32AABFT3714F1ZO</t>
  </si>
  <si>
    <t>trichurdrugcentretcr@gmail.com</t>
  </si>
  <si>
    <t>CT006</t>
  </si>
  <si>
    <t>TRIGLOBE ENTERPRISES</t>
  </si>
  <si>
    <t>NO.XV/96A,GURUVAYOOR ROAD</t>
  </si>
  <si>
    <t>ADWPJ6175E</t>
  </si>
  <si>
    <t>8/130/20B/2006</t>
  </si>
  <si>
    <t>8/131/21B/2006</t>
  </si>
  <si>
    <t>32ADWPJ6175E1ZB</t>
  </si>
  <si>
    <t>triglobeenterprises@gmail.com</t>
  </si>
  <si>
    <t>CT007</t>
  </si>
  <si>
    <t>TELY DRUGS</t>
  </si>
  <si>
    <t>45/241, BABNISH ARCADE, LOGANS ROAD,</t>
  </si>
  <si>
    <t>THALASSERY, THALASSERY, DISTRICT-KANNUR, STATE-</t>
  </si>
  <si>
    <t>KERALA, INDIA -670101</t>
  </si>
  <si>
    <t>WLF21B2023KL000690</t>
  </si>
  <si>
    <t>WLF20B2023KL000704</t>
  </si>
  <si>
    <t>32AABFT3723E1ZP</t>
  </si>
  <si>
    <t>telydrugs@gmail.com</t>
  </si>
  <si>
    <t>CT008</t>
  </si>
  <si>
    <t>TRICHUR DRUGS</t>
  </si>
  <si>
    <t>25/839-B,DR.A R MENON ROAD</t>
  </si>
  <si>
    <t>OPP.MALABAR EYE HOSPITA NAIKKANAL, TRICHUR</t>
  </si>
  <si>
    <t>AABFT3089P</t>
  </si>
  <si>
    <t>KL-TSR123630/20B</t>
  </si>
  <si>
    <t>KL-TSR123631/21B</t>
  </si>
  <si>
    <t>32AABFT3089P1ZR</t>
  </si>
  <si>
    <t>trichurdrug.leogroup@gmail.com</t>
  </si>
  <si>
    <t>CT010</t>
  </si>
  <si>
    <t>DOOR NOS 45/1789 45/1790 45/1795 45/1796</t>
  </si>
  <si>
    <t>FIRST FLOOR SITHARA COMPLEX NCC ROAD</t>
  </si>
  <si>
    <t>THALASSERY KANNUR - 670101</t>
  </si>
  <si>
    <t>MR. DINESH. K</t>
  </si>
  <si>
    <t>0490-2322965</t>
  </si>
  <si>
    <t>KL000152/21B</t>
  </si>
  <si>
    <t>KL000153/20B</t>
  </si>
  <si>
    <t>drugcentre.tly@gmail.com</t>
  </si>
  <si>
    <t>CT011</t>
  </si>
  <si>
    <t>THE GRAND PHARMA</t>
  </si>
  <si>
    <t>GARND SQUARE,JAI NAGAR WEST,BEHIND RCC</t>
  </si>
  <si>
    <t>MEDICAL COLLEGE CAMPUS,</t>
  </si>
  <si>
    <t>CPXPS8549Q</t>
  </si>
  <si>
    <t>MR. LINURAJ. I.R</t>
  </si>
  <si>
    <t>0471-2445151</t>
  </si>
  <si>
    <t>1-291/20B/2009</t>
  </si>
  <si>
    <t>1-292/21B/2009</t>
  </si>
  <si>
    <t>32CPXPS8549Q1ZF</t>
  </si>
  <si>
    <t>thegrandpharma@gmail.com</t>
  </si>
  <si>
    <t>trustpharmaceuticals@gmail.com</t>
  </si>
  <si>
    <t>CT013</t>
  </si>
  <si>
    <t>THISTLE HEALTHCARE INDIA PVT. LTD.</t>
  </si>
  <si>
    <t>18/1084</t>
  </si>
  <si>
    <t>MEYON BUILDING, JAIL ROAD, PUTHIYARA (PO)</t>
  </si>
  <si>
    <t>AADCT2950Q</t>
  </si>
  <si>
    <t>MR. SUJITH SURESH</t>
  </si>
  <si>
    <t>148134/20B</t>
  </si>
  <si>
    <t>148135/21B</t>
  </si>
  <si>
    <t>32AADCT2950Q1Z1</t>
  </si>
  <si>
    <t>thistlehealthcare@gmail.com</t>
  </si>
  <si>
    <t>CT014</t>
  </si>
  <si>
    <t>TRIEX PHARMA</t>
  </si>
  <si>
    <t>V/639-B, KARIMKUTTICKAL BUILDING</t>
  </si>
  <si>
    <t>NORTH FORT, MAVELIKKARA</t>
  </si>
  <si>
    <t>PAN NO. AAFFT1096G</t>
  </si>
  <si>
    <t>20B-KL-ALP-112380</t>
  </si>
  <si>
    <t>21B-KL-ALP-112381</t>
  </si>
  <si>
    <t>32AAFFT1096G1ZB</t>
  </si>
  <si>
    <t>triexpharma@yahoo.co.in</t>
  </si>
  <si>
    <t>CT015</t>
  </si>
  <si>
    <t>TEEKAY PHARMA</t>
  </si>
  <si>
    <t>7/216/NZEEM COMMERCIAL COMPLEX</t>
  </si>
  <si>
    <t>EAST BAZAR</t>
  </si>
  <si>
    <t>143670/20B/2009</t>
  </si>
  <si>
    <t>143671/21B/2009</t>
  </si>
  <si>
    <t>32AAGFT1413L1ZE</t>
  </si>
  <si>
    <t>teekaypharma@gmail.com</t>
  </si>
  <si>
    <t>CT017</t>
  </si>
  <si>
    <t>THE KOTHOTTIL PHARMACEUTICAL DISTRIBUTORS</t>
  </si>
  <si>
    <t>X/78 &amp; X/79,</t>
  </si>
  <si>
    <t>RICE BAZAR</t>
  </si>
  <si>
    <t>THRISSUR - 680001</t>
  </si>
  <si>
    <t>136407/20B/18.12.19</t>
  </si>
  <si>
    <t>136408/21B/18.12.19</t>
  </si>
  <si>
    <t>32AABFT3087D1ZI</t>
  </si>
  <si>
    <t>kothottilpharma@gmail.com</t>
  </si>
  <si>
    <t>CT018</t>
  </si>
  <si>
    <t>THODUPUZHA DRUG HOUSE PRIVATE LIMITED</t>
  </si>
  <si>
    <t>21/945 A,BEHIND SBI MANGATTUKAVALA</t>
  </si>
  <si>
    <t>THODUPUZHA EAST PO</t>
  </si>
  <si>
    <t>IDUKKI DISTRICT</t>
  </si>
  <si>
    <t>WLF21B2024KL000965</t>
  </si>
  <si>
    <t>WLF20B2024KL001001</t>
  </si>
  <si>
    <t>32AAGCT7251B2ZO</t>
  </si>
  <si>
    <t>tdhthodupuzha@gmail.com</t>
  </si>
  <si>
    <t>CT019</t>
  </si>
  <si>
    <t>TRUST PHARMACEUTICALS</t>
  </si>
  <si>
    <t>24/279A, COLONY ROAD</t>
  </si>
  <si>
    <t>MANJUMMEL, UDYOGAMANDAL</t>
  </si>
  <si>
    <t>ELOOR, ERNAKULAM, KERALA, 683501</t>
  </si>
  <si>
    <t>20B/WLF20B2024KL000313</t>
  </si>
  <si>
    <t>21B /WLF21B2024KL000304</t>
  </si>
  <si>
    <t>32AAVFT0120H1ZE</t>
  </si>
  <si>
    <t>CT020</t>
  </si>
  <si>
    <t>TRICHUR HOSPITAL SUPPLIES</t>
  </si>
  <si>
    <t>TC/509/28/22, SREEKRISHNA COMPLEX, SHORNUR ROAD,</t>
  </si>
  <si>
    <t>NEAR THIRUVAMBADY TEMPLE,</t>
  </si>
  <si>
    <t>Thrissur, Kerala,</t>
  </si>
  <si>
    <t>WLF21B2024KL001032</t>
  </si>
  <si>
    <t>WLF20B2024KL001066</t>
  </si>
  <si>
    <t>32AGUPS0251P1ZU</t>
  </si>
  <si>
    <t>trichurhospitalsuppliestrichur@gmail.com</t>
  </si>
  <si>
    <t>CU001</t>
  </si>
  <si>
    <t>UBEE PHARMACEUTICALS</t>
  </si>
  <si>
    <t>XV/1490</t>
  </si>
  <si>
    <t>R.N.NIVAS, VADAKKUMVHAGOM</t>
  </si>
  <si>
    <t>AFTPP3508C</t>
  </si>
  <si>
    <t>20B/156827</t>
  </si>
  <si>
    <t>21B/156828</t>
  </si>
  <si>
    <t>32AFTPP3508C1ZL</t>
  </si>
  <si>
    <t>ubeepharmakollam@gmail.com</t>
  </si>
  <si>
    <t>CU003</t>
  </si>
  <si>
    <t>UNITED PHARMA (TCR)</t>
  </si>
  <si>
    <t>XXVI/1266, CHETTUPUZHA BUILDUING</t>
  </si>
  <si>
    <t>PALAKKAL ANGADI</t>
  </si>
  <si>
    <t>AAAFU5664J</t>
  </si>
  <si>
    <t>WLF20B2023KL000290</t>
  </si>
  <si>
    <t>WLF21B2023KL000282</t>
  </si>
  <si>
    <t>32AAAFU5664J1Z2</t>
  </si>
  <si>
    <t>unitedpharmatcr@gmail.com</t>
  </si>
  <si>
    <t>CU004</t>
  </si>
  <si>
    <t>UNITY DRUG CENTER</t>
  </si>
  <si>
    <t>IST FLOOR</t>
  </si>
  <si>
    <t>RIVERA SHOPPING COMPLEX,KANHANGAD</t>
  </si>
  <si>
    <t>AAAFU6401B</t>
  </si>
  <si>
    <t>WLF20B2024KL000418</t>
  </si>
  <si>
    <t>WLF21B2024KL000285</t>
  </si>
  <si>
    <t>32AAAFU6401B1ZY</t>
  </si>
  <si>
    <t>unitydrugskhd@gmail.com</t>
  </si>
  <si>
    <t>CU005</t>
  </si>
  <si>
    <t>UNIQUE ENTERPRISES</t>
  </si>
  <si>
    <t>UNIQUE PARK TMC 6/44(5), 6/53, 6/53(1)</t>
  </si>
  <si>
    <t>AAFFU0063N</t>
  </si>
  <si>
    <t>KL-PTA-123095</t>
  </si>
  <si>
    <t>KL-PTA-123096</t>
  </si>
  <si>
    <t>32AAFFU0063N1Z6</t>
  </si>
  <si>
    <t>uniquenttvla@gmail.com</t>
  </si>
  <si>
    <t>CU006</t>
  </si>
  <si>
    <t>UNIQUE PHARMA</t>
  </si>
  <si>
    <t>UNIQUE TOWER,26/1298</t>
  </si>
  <si>
    <t>NEAR JAWAHAR BALABHAVAN, M O WARD, ALAPPUZHA</t>
  </si>
  <si>
    <t>KL-ALP-113967/20B</t>
  </si>
  <si>
    <t>KL-ALP-113968/21B</t>
  </si>
  <si>
    <t>32AABFU6031C1ZT</t>
  </si>
  <si>
    <t>uniquepharmalpy@gmail.com</t>
  </si>
  <si>
    <t>CV001</t>
  </si>
  <si>
    <t>VEE VEE PHARMA</t>
  </si>
  <si>
    <t>VARICKAMAKKAL BLD,NEAR.ST.GEORGE H.S.S</t>
  </si>
  <si>
    <t>VALLAKKADAVU ROAD,PALLIKKAVALA,IDUKKIDIST</t>
  </si>
  <si>
    <t>AABFV6746K</t>
  </si>
  <si>
    <t>KATTAPANA</t>
  </si>
  <si>
    <t>129186/20B</t>
  </si>
  <si>
    <t>129187/21B</t>
  </si>
  <si>
    <t>32AABFV6746K1ZX</t>
  </si>
  <si>
    <t>vvktpna@gmail.com</t>
  </si>
  <si>
    <t>CV002</t>
  </si>
  <si>
    <t>VIJAY</t>
  </si>
  <si>
    <t>WHOLESALE PHARMACEUTICAL DISTRIBUTORS</t>
  </si>
  <si>
    <t>KMC-XXXII/472 &amp; 473,S V T ROAD</t>
  </si>
  <si>
    <t>AACFV1129K</t>
  </si>
  <si>
    <t>SUNIL.K/ JAYACHANDRAN.K</t>
  </si>
  <si>
    <t>RLF21B2023KL002314</t>
  </si>
  <si>
    <t>RLF20B2023KL002344</t>
  </si>
  <si>
    <t>32AACFV1129K1ZD</t>
  </si>
  <si>
    <t>vijay89ksd@gmail.com</t>
  </si>
  <si>
    <t>CV003</t>
  </si>
  <si>
    <t>VINAYAKA PHARMA</t>
  </si>
  <si>
    <t>VINAYAKA BUILDING</t>
  </si>
  <si>
    <t>11/259(1),KANNARA STREET</t>
  </si>
  <si>
    <t>AFCPK3182J</t>
  </si>
  <si>
    <t>9/011/20B/2010</t>
  </si>
  <si>
    <t>9/012/21B/2010</t>
  </si>
  <si>
    <t>32AFCPK3182J1ZM</t>
  </si>
  <si>
    <t>vinayakakrishnan@yahoo.com</t>
  </si>
  <si>
    <t>CV004</t>
  </si>
  <si>
    <t>VADATHU PHARMA</t>
  </si>
  <si>
    <t>XXII/231, VIMALALAYAM BYEPASS ROAD</t>
  </si>
  <si>
    <t>ACAPM3517E</t>
  </si>
  <si>
    <t>IDUKKI</t>
  </si>
  <si>
    <t>MR. THOMAS MATHEW</t>
  </si>
  <si>
    <t>132186/20B</t>
  </si>
  <si>
    <t>132187/21B</t>
  </si>
  <si>
    <t>32ACAPM3517E1Z8</t>
  </si>
  <si>
    <t>vadathupharma@gmail.com</t>
  </si>
  <si>
    <t>CV006</t>
  </si>
  <si>
    <t>SUPPLYCO REGIONAL MEDICINE DEPOT (VAD)</t>
  </si>
  <si>
    <t>WHOLE SALE MEDICINE DIVISION</t>
  </si>
  <si>
    <t>DOOR NO:30/619 V</t>
  </si>
  <si>
    <t>J.T ROAD, VADAKARA- 673101</t>
  </si>
  <si>
    <t>20B/142923</t>
  </si>
  <si>
    <t>21B/142924</t>
  </si>
  <si>
    <t>32AAACK6767FHZ5</t>
  </si>
  <si>
    <t>supplycomedicinevatakara@gmail.com</t>
  </si>
  <si>
    <t>CV007</t>
  </si>
  <si>
    <t>V.S. ENTERPRISES</t>
  </si>
  <si>
    <t>CC NO. 40/6978</t>
  </si>
  <si>
    <t>SREENIVASA MALLAN ROAD</t>
  </si>
  <si>
    <t>AACFV2682H</t>
  </si>
  <si>
    <t>MR. H. VIJAYA KUMAR JAIN</t>
  </si>
  <si>
    <t>122022/20B</t>
  </si>
  <si>
    <t>122023/21B</t>
  </si>
  <si>
    <t>32AACFV2682H1Z8</t>
  </si>
  <si>
    <t>vsentekm@gmail.com</t>
  </si>
  <si>
    <t>CV008</t>
  </si>
  <si>
    <t>VICTORY MEDICAL STORES</t>
  </si>
  <si>
    <t>KRIPA NAGAR, KIZHAKKEKARA</t>
  </si>
  <si>
    <t>KOTTARAKARA</t>
  </si>
  <si>
    <t>MR. A.C. THOMAS</t>
  </si>
  <si>
    <t>0474-2450041</t>
  </si>
  <si>
    <t>125740/20B</t>
  </si>
  <si>
    <t>125741/21B</t>
  </si>
  <si>
    <t>32AALPC4188J2ZM</t>
  </si>
  <si>
    <t>victory.distributors01@gmail.com</t>
  </si>
  <si>
    <t>CW002</t>
  </si>
  <si>
    <t>WHITELINE ASSSOCIATES PHARMACEUTICAL</t>
  </si>
  <si>
    <t>XIII/897(1)SAKTHI ARCADE</t>
  </si>
  <si>
    <t>LEO HOSPITAL ROAD,WAYANAD DISTRICT</t>
  </si>
  <si>
    <t>AAAFW6395E</t>
  </si>
  <si>
    <t>KL-WYD-147661</t>
  </si>
  <si>
    <t>KL-WYD-147663</t>
  </si>
  <si>
    <t>32AAAFW6395E1Z5</t>
  </si>
  <si>
    <t>whiteline.associates@gmail.com</t>
  </si>
  <si>
    <t>CW003</t>
  </si>
  <si>
    <t>WESTERN Healthcare Solutions Private Limited</t>
  </si>
  <si>
    <t>Sree Ganesh complex ,big bazaar, KMC 46/5023,5024/</t>
  </si>
  <si>
    <t>KL-KLM-126018 /2021</t>
  </si>
  <si>
    <t>KL -KLM-126019/2021</t>
  </si>
  <si>
    <t>32AACCW9059Q1ZL</t>
  </si>
  <si>
    <t>westernkollam@whspl.in</t>
  </si>
  <si>
    <t>CW004</t>
  </si>
  <si>
    <t>WHITE PHARMA</t>
  </si>
  <si>
    <t>Building No.: 31/298-B &amp; B1</t>
  </si>
  <si>
    <t>Metro Pillar No-366,Temple Road,Near KRS Roadways,</t>
  </si>
  <si>
    <t>Koonamthai, Edappally</t>
  </si>
  <si>
    <t>RLF20B2023KL000518</t>
  </si>
  <si>
    <t>RLF21B2023KL000507</t>
  </si>
  <si>
    <t>32AABFW6332L1Z4</t>
  </si>
  <si>
    <t>whitepharmacochin@gmail.com</t>
  </si>
  <si>
    <t>CY001</t>
  </si>
  <si>
    <t>YENESKEY PHARMA DISTRIBUTORS</t>
  </si>
  <si>
    <t>KRISH CHAMBERS 11/502(3), 11/502(4)</t>
  </si>
  <si>
    <t>TAILOR STREET, COURT ROAD</t>
  </si>
  <si>
    <t>AAAFY1831F</t>
  </si>
  <si>
    <t>0491-2533979</t>
  </si>
  <si>
    <t>KL-PKD-9/124</t>
  </si>
  <si>
    <t>KL-PKD-9/125</t>
  </si>
  <si>
    <t>32AAAFY1831F1ZM</t>
  </si>
  <si>
    <t>nskpharmad@gmail.com</t>
  </si>
  <si>
    <t>CZ002</t>
  </si>
  <si>
    <t>ZEDWELL HEALTHCARE DISTRIBUTORS PRIVATE LIMITED</t>
  </si>
  <si>
    <t>JAMES ARCADE</t>
  </si>
  <si>
    <t>16/364 Nedumkandam</t>
  </si>
  <si>
    <t>WLF21B2024KL000437</t>
  </si>
  <si>
    <t>WLF20B2024KL000454</t>
  </si>
  <si>
    <t>32AACCZ3375Q1ZR</t>
  </si>
  <si>
    <t>purchasezedwell@gmail.com</t>
  </si>
  <si>
    <t>PRODUCT SCHEME</t>
  </si>
  <si>
    <t>PRODUCT</t>
  </si>
  <si>
    <t>MIN QTY</t>
  </si>
  <si>
    <t>FREE QTY</t>
  </si>
  <si>
    <t>SCHEME %</t>
  </si>
  <si>
    <t>TORSINEX INJ</t>
  </si>
  <si>
    <t>EBAST DC</t>
  </si>
  <si>
    <t>CARSYON 1</t>
  </si>
  <si>
    <t>APIVAS 2.5</t>
  </si>
  <si>
    <t>EBAST M</t>
  </si>
  <si>
    <t>APIVAS 5</t>
  </si>
  <si>
    <t>EBAST 10</t>
  </si>
  <si>
    <t>EBAST 20</t>
  </si>
  <si>
    <t>ETIZEP 0.25/0.5</t>
  </si>
  <si>
    <t>GRAMOCEF O 100 DT</t>
  </si>
  <si>
    <t>GRAMOCEF O 200 DT</t>
  </si>
  <si>
    <t>MECONERV PLUS</t>
  </si>
  <si>
    <t>MECONERV PLUS OD 100</t>
  </si>
  <si>
    <t>CRC</t>
  </si>
  <si>
    <t>MICRO D3 DROPS</t>
  </si>
  <si>
    <t>BIPACEF 250</t>
  </si>
  <si>
    <t>BIPACEF 500</t>
  </si>
  <si>
    <t>MICROBACT 250</t>
  </si>
  <si>
    <t>GTF1</t>
  </si>
  <si>
    <t>CARIPILL SYP</t>
  </si>
  <si>
    <t>MICROBACT 500</t>
  </si>
  <si>
    <t>DOLO 120</t>
  </si>
  <si>
    <t>DOLO 250 (60ML)</t>
  </si>
  <si>
    <t>OMIFLUX CAP</t>
  </si>
  <si>
    <t>DOLO DROPS</t>
  </si>
  <si>
    <t>DOLO MF</t>
  </si>
  <si>
    <t xml:space="preserve">PULMUCUS AB </t>
  </si>
  <si>
    <t>DOLO SUSP</t>
  </si>
  <si>
    <t>SILYBON 140</t>
  </si>
  <si>
    <t>DOLO TH 4</t>
  </si>
  <si>
    <t>SILYBON 70</t>
  </si>
  <si>
    <t>DOLO 250 (100ML)</t>
  </si>
  <si>
    <t>SILYBON FORTE</t>
  </si>
  <si>
    <t>SILYBON SUSP 100ML/200ML</t>
  </si>
  <si>
    <t>DOLO MF JUNIOR/                MF SUSP</t>
  </si>
  <si>
    <t>DOLO T</t>
  </si>
  <si>
    <t>DOLOTUSS SF</t>
  </si>
  <si>
    <t>VIVA</t>
  </si>
  <si>
    <t>ANXIT 0.25</t>
  </si>
  <si>
    <t>ANXIT 0.5</t>
  </si>
  <si>
    <t>DOLOWIN FORTE</t>
  </si>
  <si>
    <t>DOLOWIN MR</t>
  </si>
  <si>
    <t>BONMIN K2</t>
  </si>
  <si>
    <t>DOLOWIN PLUS</t>
  </si>
  <si>
    <t>DOLOWIN SPAS</t>
  </si>
  <si>
    <t>FERTIFLUS/ FERTIPLUS M</t>
  </si>
  <si>
    <t>DOLOWIN SR</t>
  </si>
  <si>
    <t>LINOSEPT 600</t>
  </si>
  <si>
    <t>MECONERV FORTE CAP</t>
  </si>
  <si>
    <t>DOLOWIN TC 4</t>
  </si>
  <si>
    <t>DOLOWIN SP</t>
  </si>
  <si>
    <t>MECONERV FORTE INJ</t>
  </si>
  <si>
    <t>DOLOWIN TC 8</t>
  </si>
  <si>
    <t>ESOFAG 40</t>
  </si>
  <si>
    <t>MECONERV NP</t>
  </si>
  <si>
    <t>ESOFAG D</t>
  </si>
  <si>
    <t>MECONERV PSR</t>
  </si>
  <si>
    <t>ESOFAG L</t>
  </si>
  <si>
    <t>MECONERV Z SYP</t>
  </si>
  <si>
    <t>GASTRIDE CAP</t>
  </si>
  <si>
    <t>GRAMOCEF CV</t>
  </si>
  <si>
    <t>LEVOBACT 500/750</t>
  </si>
  <si>
    <t>MICROBIS</t>
  </si>
  <si>
    <t>NORDYS 200/400/550</t>
  </si>
  <si>
    <t>MICROCID CAP</t>
  </si>
  <si>
    <t>NURATOR</t>
  </si>
  <si>
    <t>MICROCID SR</t>
  </si>
  <si>
    <t>MICROMOM (VANILLA/CHOCO.)</t>
  </si>
  <si>
    <t>USIBON 150/300</t>
  </si>
  <si>
    <t>VONACID 10/20</t>
  </si>
  <si>
    <t>PREDACE 4/8/16</t>
  </si>
  <si>
    <t>TOLFEN /  TOLFEN-P</t>
  </si>
  <si>
    <t>RABIROS 20</t>
  </si>
  <si>
    <t>TOLPA NANO GEL</t>
  </si>
  <si>
    <t>RABIROS L</t>
  </si>
  <si>
    <t>TOLPA D</t>
  </si>
  <si>
    <t>RABIROS D</t>
  </si>
  <si>
    <t>TOLPAZEN/TOLPAZEN A</t>
  </si>
  <si>
    <t>ULTRAM</t>
  </si>
  <si>
    <t>TENDOPRO</t>
  </si>
  <si>
    <t>Product Pack</t>
  </si>
  <si>
    <t>768 pack (24X32)</t>
  </si>
  <si>
    <t>720 pack (24X30)</t>
  </si>
  <si>
    <t>25% Scheme</t>
  </si>
  <si>
    <t>Charge</t>
  </si>
  <si>
    <t>Free</t>
  </si>
  <si>
    <t>Total</t>
  </si>
  <si>
    <t>C Box</t>
  </si>
  <si>
    <t>720- 720/125*100 i.e 576+144</t>
  </si>
  <si>
    <t>768- 768/125*100 i.e 614+154</t>
  </si>
  <si>
    <t>10% Scheme</t>
  </si>
  <si>
    <t>720- 720/110*100 i.e 655+65</t>
  </si>
  <si>
    <t>768- 768/110*100 i.e 699+69</t>
  </si>
  <si>
    <t>Division  :GTF 2</t>
  </si>
  <si>
    <t>Division  :VIVA</t>
  </si>
  <si>
    <t>Division :DTF 1</t>
  </si>
  <si>
    <t>Division :CARDI-CARE</t>
  </si>
  <si>
    <t>Division :GTF1</t>
  </si>
  <si>
    <t>DOLO 1GM</t>
  </si>
  <si>
    <t>Sap Code</t>
  </si>
  <si>
    <t>Item Desc</t>
  </si>
  <si>
    <t>Qty</t>
  </si>
  <si>
    <t>Box Pack</t>
  </si>
  <si>
    <t>Pack</t>
  </si>
  <si>
    <t>DVN</t>
  </si>
  <si>
    <t>FTINA0939</t>
  </si>
  <si>
    <t>CAR1</t>
  </si>
  <si>
    <t>FTINA0556</t>
  </si>
  <si>
    <t>FTINA0555</t>
  </si>
  <si>
    <t>FTINA0043</t>
  </si>
  <si>
    <t>FTINA0927</t>
  </si>
  <si>
    <t>FTINA0903</t>
  </si>
  <si>
    <t>FTINA0926</t>
  </si>
  <si>
    <t>FTINA0995</t>
  </si>
  <si>
    <t>FTINA0900</t>
  </si>
  <si>
    <t>FTINA0558</t>
  </si>
  <si>
    <t>FTINA0707</t>
  </si>
  <si>
    <t>TCINA0027</t>
  </si>
  <si>
    <t>TCINA0028</t>
  </si>
  <si>
    <t>FTINA0897</t>
  </si>
  <si>
    <t>FTINA0898</t>
  </si>
  <si>
    <t>FTINA0103</t>
  </si>
  <si>
    <t>FTINA0106</t>
  </si>
  <si>
    <t>AVAS 80</t>
  </si>
  <si>
    <t>TCINA0002</t>
  </si>
  <si>
    <t>AVAS CV 10</t>
  </si>
  <si>
    <t>TCINA0008</t>
  </si>
  <si>
    <t>AVAS CV 20</t>
  </si>
  <si>
    <t>TTINA0110</t>
  </si>
  <si>
    <t>AVAS GOLD 10</t>
  </si>
  <si>
    <t>TTINA0109</t>
  </si>
  <si>
    <t>AVAS GOLD 20</t>
  </si>
  <si>
    <t>FTINA0847</t>
  </si>
  <si>
    <t>FTINA0854</t>
  </si>
  <si>
    <t>FTINA0856</t>
  </si>
  <si>
    <t>FTINA0944</t>
  </si>
  <si>
    <t>TTINB0016</t>
  </si>
  <si>
    <t>BRIGREL 60</t>
  </si>
  <si>
    <t>FTINB0369</t>
  </si>
  <si>
    <t>FTINM0678</t>
  </si>
  <si>
    <t>FTINM0677</t>
  </si>
  <si>
    <t>TCINP0006</t>
  </si>
  <si>
    <t>TCINP0007</t>
  </si>
  <si>
    <t>FTINP0527</t>
  </si>
  <si>
    <t>FTINT0657</t>
  </si>
  <si>
    <t>TELPLUS</t>
  </si>
  <si>
    <t>TTINT0088</t>
  </si>
  <si>
    <t>TELPLUS HS</t>
  </si>
  <si>
    <t>FTINT0655</t>
  </si>
  <si>
    <t>TTINT0089</t>
  </si>
  <si>
    <t xml:space="preserve">TELPLUS TRIO HS </t>
  </si>
  <si>
    <t>FTINA0059</t>
  </si>
  <si>
    <t>CAR2</t>
  </si>
  <si>
    <t>FTINA0382</t>
  </si>
  <si>
    <t>FTINA0917</t>
  </si>
  <si>
    <t>FTIND0357</t>
  </si>
  <si>
    <t>FTIND0620</t>
  </si>
  <si>
    <t>DIANORM M-OD 1000</t>
  </si>
  <si>
    <t>FTIND0107</t>
  </si>
  <si>
    <t>FTIND0083</t>
  </si>
  <si>
    <t>FTIND0628</t>
  </si>
  <si>
    <t>TTIND0048</t>
  </si>
  <si>
    <t>DIANORM TOTAL - 30</t>
  </si>
  <si>
    <t>FTIND0625</t>
  </si>
  <si>
    <t>FTIND0631</t>
  </si>
  <si>
    <t>FTINR0505</t>
  </si>
  <si>
    <t>FTINR0504</t>
  </si>
  <si>
    <t>TTINR0029</t>
  </si>
  <si>
    <t>FTINR0503</t>
  </si>
  <si>
    <t>TTINS0026</t>
  </si>
  <si>
    <t>TTINS0030</t>
  </si>
  <si>
    <t>TTINS0027</t>
  </si>
  <si>
    <t>FTINS0439</t>
  </si>
  <si>
    <t>FTINS0449</t>
  </si>
  <si>
    <t>FTINS0438</t>
  </si>
  <si>
    <t>TTINS0036</t>
  </si>
  <si>
    <t>TTINS0037</t>
  </si>
  <si>
    <t>TTINS0038</t>
  </si>
  <si>
    <t>TTINS0035</t>
  </si>
  <si>
    <t>TTINS0033</t>
  </si>
  <si>
    <t>TTINS0031</t>
  </si>
  <si>
    <t>TTINS0021</t>
  </si>
  <si>
    <t>TTINS0020</t>
  </si>
  <si>
    <t>TTINS0019</t>
  </si>
  <si>
    <t>TTINS0018</t>
  </si>
  <si>
    <t>TTINS0047</t>
  </si>
  <si>
    <t>SITANORM PM 500</t>
  </si>
  <si>
    <t>TTINS0046</t>
  </si>
  <si>
    <t>SITANORM PM 1000</t>
  </si>
  <si>
    <t>FCINT0067</t>
  </si>
  <si>
    <t>TCINT0010</t>
  </si>
  <si>
    <t>TCINT0003</t>
  </si>
  <si>
    <t>TURBOVAS CV 10</t>
  </si>
  <si>
    <t>TTINT0062</t>
  </si>
  <si>
    <t>TURBOVAS CV 20</t>
  </si>
  <si>
    <t>FTINT0483</t>
  </si>
  <si>
    <t>TURBOVAS- F</t>
  </si>
  <si>
    <t>TCINT0005</t>
  </si>
  <si>
    <t>TURBOVAS GOLD - 10</t>
  </si>
  <si>
    <t>TCINT0006</t>
  </si>
  <si>
    <t>TURBOVAS GOLD - 20</t>
  </si>
  <si>
    <t>FTINT0620</t>
  </si>
  <si>
    <t>FTINT0651</t>
  </si>
  <si>
    <t>FTINT0494</t>
  </si>
  <si>
    <t>TURBOVAS-40</t>
  </si>
  <si>
    <t>FTINT0650</t>
  </si>
  <si>
    <t>TCINC0018</t>
  </si>
  <si>
    <t>CARVIDON  OD  80</t>
  </si>
  <si>
    <t>CAR3</t>
  </si>
  <si>
    <t>FTINC0027</t>
  </si>
  <si>
    <t>FTINC0453</t>
  </si>
  <si>
    <t>FTINC0363</t>
  </si>
  <si>
    <t>FTINC0454</t>
  </si>
  <si>
    <t>FTINN0058</t>
  </si>
  <si>
    <t>FTINN0213</t>
  </si>
  <si>
    <t>TTINN0112</t>
  </si>
  <si>
    <t>FTINN0210</t>
  </si>
  <si>
    <t>FTINN0208</t>
  </si>
  <si>
    <t>TTINN0072</t>
  </si>
  <si>
    <t>NULONG - OL 20</t>
  </si>
  <si>
    <t>TTINN0073</t>
  </si>
  <si>
    <t>NULONG - OL 40</t>
  </si>
  <si>
    <t>FTINN0202</t>
  </si>
  <si>
    <t>FTINN0203</t>
  </si>
  <si>
    <t>FTINN0201</t>
  </si>
  <si>
    <t>FTINN0227</t>
  </si>
  <si>
    <t>FTINN0228</t>
  </si>
  <si>
    <t>TTINN0079</t>
  </si>
  <si>
    <t>NULONG TRIO</t>
  </si>
  <si>
    <t>TTINN0088</t>
  </si>
  <si>
    <t>FTINN0229</t>
  </si>
  <si>
    <t>FTINO0408</t>
  </si>
  <si>
    <t>OLMAT 20-CT</t>
  </si>
  <si>
    <t>FTINO0407</t>
  </si>
  <si>
    <t>OLMAT 40-CT</t>
  </si>
  <si>
    <t>FTINO0446</t>
  </si>
  <si>
    <t>OLMAT -H TAB</t>
  </si>
  <si>
    <t>FTINO0423</t>
  </si>
  <si>
    <t>FTINO0422</t>
  </si>
  <si>
    <t>TTINO0049</t>
  </si>
  <si>
    <t>FTINO0413</t>
  </si>
  <si>
    <t>FTINO0412</t>
  </si>
  <si>
    <t>FTINO0414</t>
  </si>
  <si>
    <t>FTINO0409</t>
  </si>
  <si>
    <t>FTINO0411</t>
  </si>
  <si>
    <t>FTINO0415</t>
  </si>
  <si>
    <t>FTINO0410</t>
  </si>
  <si>
    <t>FTINT0015</t>
  </si>
  <si>
    <t>FTINT0303</t>
  </si>
  <si>
    <t>FTINT0017</t>
  </si>
  <si>
    <t>FEINT0046</t>
  </si>
  <si>
    <t>TORSINEX INJECTION</t>
  </si>
  <si>
    <t>FTINT0076</t>
  </si>
  <si>
    <t>TORSINEX PLUS</t>
  </si>
  <si>
    <t>FTINA0920</t>
  </si>
  <si>
    <t>CAR4</t>
  </si>
  <si>
    <t>FTINA0925</t>
  </si>
  <si>
    <t>FTINA0961</t>
  </si>
  <si>
    <t>FTINA0962</t>
  </si>
  <si>
    <t>FTINA0960</t>
  </si>
  <si>
    <t>TTIND0174</t>
  </si>
  <si>
    <t>TTIND0175</t>
  </si>
  <si>
    <t>TTIND0173</t>
  </si>
  <si>
    <t>FTIND0605</t>
  </si>
  <si>
    <t>FTIND0621</t>
  </si>
  <si>
    <t>DAJIO-5</t>
  </si>
  <si>
    <t>FTIND0654</t>
  </si>
  <si>
    <t>DAJIO-L 5</t>
  </si>
  <si>
    <t>FTIND0610</t>
  </si>
  <si>
    <t>FTIND0609</t>
  </si>
  <si>
    <t>FTINP0047</t>
  </si>
  <si>
    <t>FTINP0052</t>
  </si>
  <si>
    <t>FTINP0521</t>
  </si>
  <si>
    <t>FTINP0522</t>
  </si>
  <si>
    <t>FTINP0074</t>
  </si>
  <si>
    <t>TTINS0052</t>
  </si>
  <si>
    <t>TTINS0051</t>
  </si>
  <si>
    <t>TTINS0053</t>
  </si>
  <si>
    <t>TTINV0082</t>
  </si>
  <si>
    <t>VILPOWER - D 100/10</t>
  </si>
  <si>
    <t>TTINV0093</t>
  </si>
  <si>
    <t>TTINV0092</t>
  </si>
  <si>
    <t>FTINV0382</t>
  </si>
  <si>
    <t>FTINV0396</t>
  </si>
  <si>
    <t>VILPOWER OD 100</t>
  </si>
  <si>
    <t>FTINV0402</t>
  </si>
  <si>
    <t>VILPOWER-50</t>
  </si>
  <si>
    <t>TTINV0073</t>
  </si>
  <si>
    <t>VILPOWER-M 1000</t>
  </si>
  <si>
    <t>FTINV0344</t>
  </si>
  <si>
    <t>FTINV0345</t>
  </si>
  <si>
    <t>TTINV0063</t>
  </si>
  <si>
    <t>TTINV0066</t>
  </si>
  <si>
    <t>FTINV0370</t>
  </si>
  <si>
    <t>FTINV0369</t>
  </si>
  <si>
    <t>FTINV0380</t>
  </si>
  <si>
    <t>VOGLINORM-M 0.3</t>
  </si>
  <si>
    <t>TTINV0051</t>
  </si>
  <si>
    <t>TTINZ0020</t>
  </si>
  <si>
    <t>ZILARTA CT 40/12.5</t>
  </si>
  <si>
    <t>TTINZ0014</t>
  </si>
  <si>
    <t>ZILARTA-40</t>
  </si>
  <si>
    <t>TTINZ0015</t>
  </si>
  <si>
    <t>ZILARTA-80</t>
  </si>
  <si>
    <t>FTINA0032</t>
  </si>
  <si>
    <t>CC</t>
  </si>
  <si>
    <t>FTINA0036</t>
  </si>
  <si>
    <t>FTINA0989</t>
  </si>
  <si>
    <t>ARBITEL CT 40</t>
  </si>
  <si>
    <t>TTINA0135</t>
  </si>
  <si>
    <t>ARBITEL CT 40/6.25</t>
  </si>
  <si>
    <t>TTINA0066</t>
  </si>
  <si>
    <t>ARBITEL CT 80</t>
  </si>
  <si>
    <t>FTINA1011</t>
  </si>
  <si>
    <t>FTINA0994</t>
  </si>
  <si>
    <t xml:space="preserve">ARBITEL TRIO 25 </t>
  </si>
  <si>
    <t>FTINA0982</t>
  </si>
  <si>
    <t>FTINA0918</t>
  </si>
  <si>
    <t>FTINA0919</t>
  </si>
  <si>
    <t>FTINA0367</t>
  </si>
  <si>
    <t>ARBITEL-80</t>
  </si>
  <si>
    <t>FTINA0529</t>
  </si>
  <si>
    <t>ARBITEL-80 H</t>
  </si>
  <si>
    <t>FTINA0588</t>
  </si>
  <si>
    <t>ARBITEL-80 AM</t>
  </si>
  <si>
    <t>FTINA0988</t>
  </si>
  <si>
    <t>FTINA0595</t>
  </si>
  <si>
    <t>TTINA0039</t>
  </si>
  <si>
    <t>FTINA0583</t>
  </si>
  <si>
    <t>FTINA0584</t>
  </si>
  <si>
    <t>FTINA0342</t>
  </si>
  <si>
    <t>FTINA0107</t>
  </si>
  <si>
    <t>TCINA0009</t>
  </si>
  <si>
    <t>ASTIN CV 10</t>
  </si>
  <si>
    <t>TCINA0010</t>
  </si>
  <si>
    <t>ASTIN CV 20</t>
  </si>
  <si>
    <t>FTINA0852</t>
  </si>
  <si>
    <t>FTINA0850</t>
  </si>
  <si>
    <t>TTINB0017</t>
  </si>
  <si>
    <t>BISOLONG 2.5</t>
  </si>
  <si>
    <t>TTINB0018</t>
  </si>
  <si>
    <t>BISOLONG 5</t>
  </si>
  <si>
    <t>TTINB0036</t>
  </si>
  <si>
    <t>BISOLONG D 1.25</t>
  </si>
  <si>
    <t>TTINB0034</t>
  </si>
  <si>
    <t>TTINB0035</t>
  </si>
  <si>
    <t>FTINM0685</t>
  </si>
  <si>
    <t>FTINM0686</t>
  </si>
  <si>
    <t>TTINC0014</t>
  </si>
  <si>
    <t>CARTINEX TAB</t>
  </si>
  <si>
    <t>TTINC0056</t>
  </si>
  <si>
    <t>FTINC0047</t>
  </si>
  <si>
    <t>FTINC0056</t>
  </si>
  <si>
    <t>TTINC0055</t>
  </si>
  <si>
    <t>FTINF0306</t>
  </si>
  <si>
    <t>FTINH0180</t>
  </si>
  <si>
    <t>FCINH0058</t>
  </si>
  <si>
    <t>FCINH0048</t>
  </si>
  <si>
    <t>FTINH0162</t>
  </si>
  <si>
    <t>HOPACE MT 50</t>
  </si>
  <si>
    <t>FTINH0145</t>
  </si>
  <si>
    <t>FTINH0148</t>
  </si>
  <si>
    <t>FTINH0185</t>
  </si>
  <si>
    <t>FTINM0016</t>
  </si>
  <si>
    <t>TTINM0167</t>
  </si>
  <si>
    <t>TTINM0168</t>
  </si>
  <si>
    <t>FTINM0020</t>
  </si>
  <si>
    <t>FTINM0536</t>
  </si>
  <si>
    <t>FTINM0537</t>
  </si>
  <si>
    <t>FTINN0038</t>
  </si>
  <si>
    <t>NITROFIX 20 TAB</t>
  </si>
  <si>
    <t>FTINN0059</t>
  </si>
  <si>
    <t>FTINN0003</t>
  </si>
  <si>
    <t>FTIND0581</t>
  </si>
  <si>
    <t>DTF1</t>
  </si>
  <si>
    <t>FTIND0030</t>
  </si>
  <si>
    <t>TTIND0162</t>
  </si>
  <si>
    <t>TTIND0165</t>
  </si>
  <si>
    <t>DIAPRIDE DM 1 Forte</t>
  </si>
  <si>
    <t>TTIND0164</t>
  </si>
  <si>
    <t>TTIND0163</t>
  </si>
  <si>
    <t>DIAPRIDE DM 2 Forte</t>
  </si>
  <si>
    <t>FTIND0553</t>
  </si>
  <si>
    <t>DIAPRIDE M 0.5</t>
  </si>
  <si>
    <t>FTIND0415</t>
  </si>
  <si>
    <t>FTIND0416</t>
  </si>
  <si>
    <t>FTIND0638</t>
  </si>
  <si>
    <t>FTIND0639</t>
  </si>
  <si>
    <t>FTIND0596</t>
  </si>
  <si>
    <t>TTIND0156</t>
  </si>
  <si>
    <t xml:space="preserve">DIAPRIDE MS1 </t>
  </si>
  <si>
    <t>TTIND0157</t>
  </si>
  <si>
    <t>DIAPRIDE MS2</t>
  </si>
  <si>
    <t>TTIND0155</t>
  </si>
  <si>
    <t xml:space="preserve">DIAPRIDE MS1 FORTE </t>
  </si>
  <si>
    <t>TTIND0158</t>
  </si>
  <si>
    <t>DIAPRIDE MS2 FORTE</t>
  </si>
  <si>
    <t>FTIND0565</t>
  </si>
  <si>
    <t>FTIND0598</t>
  </si>
  <si>
    <t>FTIND0597</t>
  </si>
  <si>
    <t>FTIND0599</t>
  </si>
  <si>
    <t>FTINE0646</t>
  </si>
  <si>
    <t>FTINE0645</t>
  </si>
  <si>
    <t>FTINE0649</t>
  </si>
  <si>
    <t>FTINE0650</t>
  </si>
  <si>
    <t>TTINE0031</t>
  </si>
  <si>
    <t>FTINE0648</t>
  </si>
  <si>
    <t>FTINE0647</t>
  </si>
  <si>
    <t>TTINE0032</t>
  </si>
  <si>
    <t>TCINM0001</t>
  </si>
  <si>
    <t>TCINM0207</t>
  </si>
  <si>
    <t>MECONERV PLUS OD</t>
  </si>
  <si>
    <t>TTINV0080</t>
  </si>
  <si>
    <t>VILDAPRIDE - D 100/10</t>
  </si>
  <si>
    <t>TTINV0070</t>
  </si>
  <si>
    <t>VILDAPRIDE - M 50/ 1000</t>
  </si>
  <si>
    <t>FTINV0371</t>
  </si>
  <si>
    <t>TTINV0091</t>
  </si>
  <si>
    <t>TTINV0090</t>
  </si>
  <si>
    <t>FTINV0381</t>
  </si>
  <si>
    <t>TTINV0096</t>
  </si>
  <si>
    <t>VILDAPRIDE M OD 1000</t>
  </si>
  <si>
    <t>TTINV0097</t>
  </si>
  <si>
    <t>VILDAPRIDE M OD 500</t>
  </si>
  <si>
    <t>FTINV0395</t>
  </si>
  <si>
    <t>VILDAPRIDE OD 100</t>
  </si>
  <si>
    <t>FTIND0541</t>
  </si>
  <si>
    <t>DIAPRIDE M1 HV</t>
  </si>
  <si>
    <t>DTF3</t>
  </si>
  <si>
    <t>FTIND0539</t>
  </si>
  <si>
    <t>DIAPRIDE-M1 LV</t>
  </si>
  <si>
    <t>FTIND0540</t>
  </si>
  <si>
    <t>DIAPRIDE M2 LV</t>
  </si>
  <si>
    <t>FTIND0093</t>
  </si>
  <si>
    <t>FCINP0002</t>
  </si>
  <si>
    <t>PREGATOR CAP</t>
  </si>
  <si>
    <t>TTINS0028</t>
  </si>
  <si>
    <t>TTINS0029</t>
  </si>
  <si>
    <t>TTINS0034</t>
  </si>
  <si>
    <t>TTINS0032</t>
  </si>
  <si>
    <t>TTINS0025</t>
  </si>
  <si>
    <t>TTINS0024</t>
  </si>
  <si>
    <t>TTINS0023</t>
  </si>
  <si>
    <t>FTINS0476</t>
  </si>
  <si>
    <t>FTINS0448</t>
  </si>
  <si>
    <t>FTINS0446</t>
  </si>
  <si>
    <t>FTINS0447</t>
  </si>
  <si>
    <t>TTINS0055</t>
  </si>
  <si>
    <t>TTINS0048</t>
  </si>
  <si>
    <t>TTINS0050</t>
  </si>
  <si>
    <t>FTINT0656</t>
  </si>
  <si>
    <t>TLINC0031</t>
  </si>
  <si>
    <t>CARIPILL SYRUP</t>
  </si>
  <si>
    <t>TLIND0021</t>
  </si>
  <si>
    <t>DOLO 120 SUSPENSION</t>
  </si>
  <si>
    <t>TSIND0010</t>
  </si>
  <si>
    <t>DOLO 250 SUSPENSION</t>
  </si>
  <si>
    <t>FTIND0352</t>
  </si>
  <si>
    <t>TTIND0180</t>
  </si>
  <si>
    <t>TLIND0001</t>
  </si>
  <si>
    <t>TIIND0009</t>
  </si>
  <si>
    <t>DOLO MF SYRUP</t>
  </si>
  <si>
    <t>TTIND0176</t>
  </si>
  <si>
    <t>TSIND0005</t>
  </si>
  <si>
    <t xml:space="preserve">DOLO SUSPENSION </t>
  </si>
  <si>
    <t>FTIND0630</t>
  </si>
  <si>
    <t>TSIND0007</t>
  </si>
  <si>
    <t>DOLO-250 SUSPENSION (100ML)</t>
  </si>
  <si>
    <t>FTIND0316</t>
  </si>
  <si>
    <t>FTIND0670</t>
  </si>
  <si>
    <t>FTINE0015</t>
  </si>
  <si>
    <t>FTINE0615</t>
  </si>
  <si>
    <t>TLINE0001</t>
  </si>
  <si>
    <t>EBAST SUSPENSION</t>
  </si>
  <si>
    <t>FTINE0626</t>
  </si>
  <si>
    <t>FTINE0616</t>
  </si>
  <si>
    <t>FTING0047</t>
  </si>
  <si>
    <t>FTING0049</t>
  </si>
  <si>
    <t>FPING001</t>
  </si>
  <si>
    <t>GRAMOCEF O 50 DRY SYRUP</t>
  </si>
  <si>
    <t>FPING006</t>
  </si>
  <si>
    <t>GRAMOCEF-O-100 DRY SYRUP</t>
  </si>
  <si>
    <t>FTING0002</t>
  </si>
  <si>
    <t>TLINM0051</t>
  </si>
  <si>
    <t>MICRO D3 DROPS 30ML</t>
  </si>
  <si>
    <t>FTINM0640</t>
  </si>
  <si>
    <t>FTINM0641</t>
  </si>
  <si>
    <t>TSINM0034</t>
  </si>
  <si>
    <t>MICROBACT-XL 100 REDIMED</t>
  </si>
  <si>
    <t>TSINM0033</t>
  </si>
  <si>
    <t>MICROBACT-XL 200 REDIMED</t>
  </si>
  <si>
    <t>FCINM0164</t>
  </si>
  <si>
    <t>TLINM0092</t>
  </si>
  <si>
    <t>MICRONASE - NS SPRAY</t>
  </si>
  <si>
    <t>TLINM0095</t>
  </si>
  <si>
    <t>MICRONASE - AF SPRAY</t>
  </si>
  <si>
    <t>TLINM0096</t>
  </si>
  <si>
    <t>MICRONASE - F SPRAY</t>
  </si>
  <si>
    <t>FCINO0009</t>
  </si>
  <si>
    <t>TTINP0043</t>
  </si>
  <si>
    <t>PULMUCUS 600</t>
  </si>
  <si>
    <t>TTINP0041</t>
  </si>
  <si>
    <t>PULMUCUS AB</t>
  </si>
  <si>
    <t>FTINS0021</t>
  </si>
  <si>
    <t>FTINS0020</t>
  </si>
  <si>
    <t>TSINS0004</t>
  </si>
  <si>
    <t xml:space="preserve">SILYBON SUP 100 ML </t>
  </si>
  <si>
    <t>TSINS0005</t>
  </si>
  <si>
    <t>SILYBON SUS.200 ML</t>
  </si>
  <si>
    <t>TCINZ0001</t>
  </si>
  <si>
    <t>FTINA0551</t>
  </si>
  <si>
    <t>GTF2</t>
  </si>
  <si>
    <t>FTINA0070</t>
  </si>
  <si>
    <t>FTINA0552</t>
  </si>
  <si>
    <t>FTINA0120</t>
  </si>
  <si>
    <t>ANXIT FORTE</t>
  </si>
  <si>
    <t>FTINA0121</t>
  </si>
  <si>
    <t>TCINB0016</t>
  </si>
  <si>
    <t>TTINC0050</t>
  </si>
  <si>
    <t>CARIPILL TAB</t>
  </si>
  <si>
    <t>TOIND0042</t>
  </si>
  <si>
    <t>FTIND0091</t>
  </si>
  <si>
    <t>FTIND0312</t>
  </si>
  <si>
    <t>FTIND0663</t>
  </si>
  <si>
    <t xml:space="preserve">DOLOWIN SP </t>
  </si>
  <si>
    <t>FTIND0414</t>
  </si>
  <si>
    <t>FTIND0313</t>
  </si>
  <si>
    <t>FTIND0086</t>
  </si>
  <si>
    <t>TTIND0101</t>
  </si>
  <si>
    <t>TTIND0046</t>
  </si>
  <si>
    <t>FTINE0617</t>
  </si>
  <si>
    <t>FCINE0158</t>
  </si>
  <si>
    <t>TTINE0009</t>
  </si>
  <si>
    <t>TCING0008</t>
  </si>
  <si>
    <t>FTING0315</t>
  </si>
  <si>
    <t>FTINL0530</t>
  </si>
  <si>
    <t>FTINL0531</t>
  </si>
  <si>
    <t>FTINL0597</t>
  </si>
  <si>
    <t>TTINM0193</t>
  </si>
  <si>
    <t>TTINN0080</t>
  </si>
  <si>
    <t>NORDYS 200</t>
  </si>
  <si>
    <t>TTINN0081</t>
  </si>
  <si>
    <t>NORDYS 400</t>
  </si>
  <si>
    <t>TTINN0082</t>
  </si>
  <si>
    <t>NORDYS 550</t>
  </si>
  <si>
    <t>TTINN0092</t>
  </si>
  <si>
    <t>FTINU0009</t>
  </si>
  <si>
    <t>USIBON-150</t>
  </si>
  <si>
    <t>FTINU0010</t>
  </si>
  <si>
    <t>USIBON-300</t>
  </si>
  <si>
    <t>TTINU0010</t>
  </si>
  <si>
    <t>USIBON-450 SR</t>
  </si>
  <si>
    <t>TTINV0103</t>
  </si>
  <si>
    <t>VONACID  10</t>
  </si>
  <si>
    <t>TTINV0104</t>
  </si>
  <si>
    <t>VONACID  20</t>
  </si>
  <si>
    <t>TCIND0008</t>
  </si>
  <si>
    <t>DABILONG 110</t>
  </si>
  <si>
    <t>SYP</t>
  </si>
  <si>
    <t>TCIND0009</t>
  </si>
  <si>
    <t>DABILONG 150</t>
  </si>
  <si>
    <t>FTIND0090</t>
  </si>
  <si>
    <t>FTIND0627</t>
  </si>
  <si>
    <t>FTIND0629</t>
  </si>
  <si>
    <t>FTINE0004</t>
  </si>
  <si>
    <t>FTINE0006</t>
  </si>
  <si>
    <t>TTING0020</t>
  </si>
  <si>
    <t>GABALEPT  NT 100</t>
  </si>
  <si>
    <t>TTING0019</t>
  </si>
  <si>
    <t>GABALEPT NT 400</t>
  </si>
  <si>
    <t>TIINL0003</t>
  </si>
  <si>
    <t>LEVACETAM INJ</t>
  </si>
  <si>
    <t>TSINL0001</t>
  </si>
  <si>
    <t>LEVACETAM SYRUP</t>
  </si>
  <si>
    <t>TTINL0013</t>
  </si>
  <si>
    <t>FTINL0123</t>
  </si>
  <si>
    <t>FTINL0124</t>
  </si>
  <si>
    <t>FTINL0125</t>
  </si>
  <si>
    <t>TTINL0038</t>
  </si>
  <si>
    <t>LICOTAR 50</t>
  </si>
  <si>
    <t>TTINM0034</t>
  </si>
  <si>
    <t>TTINM0035</t>
  </si>
  <si>
    <t>TTINM0033</t>
  </si>
  <si>
    <t>TCINM0010</t>
  </si>
  <si>
    <t>MICROBION</t>
  </si>
  <si>
    <t>TTINM0117</t>
  </si>
  <si>
    <t>MICROLIV FORTE</t>
  </si>
  <si>
    <t>TTINN0096</t>
  </si>
  <si>
    <t>NEURICA</t>
  </si>
  <si>
    <t>TCINN0013</t>
  </si>
  <si>
    <t>NEURICA B</t>
  </si>
  <si>
    <t>TTINN0075</t>
  </si>
  <si>
    <t>NEURICA NT</t>
  </si>
  <si>
    <t>FCINN0001</t>
  </si>
  <si>
    <t>FTINN0010</t>
  </si>
  <si>
    <t>FTINO0012</t>
  </si>
  <si>
    <t>FTINO0001</t>
  </si>
  <si>
    <t>FTINO0014</t>
  </si>
  <si>
    <t>TTINP0011</t>
  </si>
  <si>
    <t>TTINP0012</t>
  </si>
  <si>
    <t>FTINP0513</t>
  </si>
  <si>
    <t>FTINP0526</t>
  </si>
  <si>
    <t>FTINP0528</t>
  </si>
  <si>
    <t>FTINP0515</t>
  </si>
  <si>
    <t>FTINP0518</t>
  </si>
  <si>
    <t>FTINP0523</t>
  </si>
  <si>
    <t>FTINP0519</t>
  </si>
  <si>
    <t>FTINP0529</t>
  </si>
  <si>
    <t>FTINP0524</t>
  </si>
  <si>
    <t>TTINP0026</t>
  </si>
  <si>
    <t>PETRIL PLUS LS</t>
  </si>
  <si>
    <t>FTINP0525</t>
  </si>
  <si>
    <t>FTINR0515</t>
  </si>
  <si>
    <t>RISPOND-1</t>
  </si>
  <si>
    <t>FTINR0516</t>
  </si>
  <si>
    <t>FTINR0517</t>
  </si>
  <si>
    <t>FTINR0033</t>
  </si>
  <si>
    <t>FTINR0048</t>
  </si>
  <si>
    <t>FTINR0521</t>
  </si>
  <si>
    <t>FTINR0329</t>
  </si>
  <si>
    <t>FTINS0044</t>
  </si>
  <si>
    <t>FTINS0045</t>
  </si>
  <si>
    <t>FTINS0046</t>
  </si>
  <si>
    <t>FTINV0005</t>
  </si>
  <si>
    <t>FTINV0379</t>
  </si>
  <si>
    <t>FTINV0372</t>
  </si>
  <si>
    <t>TTINV0004</t>
  </si>
  <si>
    <t>FTINY0002</t>
  </si>
  <si>
    <t>FTINY0001</t>
  </si>
  <si>
    <t>TTINZ0013</t>
  </si>
  <si>
    <t>ZOVANE 20</t>
  </si>
  <si>
    <t>TOINA0012</t>
  </si>
  <si>
    <t>ANORELIEF CREAM</t>
  </si>
  <si>
    <t>TTINB0008</t>
  </si>
  <si>
    <t>TTINB0011</t>
  </si>
  <si>
    <t>BONMIN-K2</t>
  </si>
  <si>
    <t>TTINB0029</t>
  </si>
  <si>
    <t>TTINF0020</t>
  </si>
  <si>
    <t>FERTIPLUS</t>
  </si>
  <si>
    <t>FTINM0003</t>
  </si>
  <si>
    <t>FCINM0192</t>
  </si>
  <si>
    <t>TTINM0115</t>
  </si>
  <si>
    <t>FIINM0155</t>
  </si>
  <si>
    <t>MECONERV INJECTION</t>
  </si>
  <si>
    <t>TTINM0144</t>
  </si>
  <si>
    <t>TTINM0142</t>
  </si>
  <si>
    <t>MECONERV P - SR</t>
  </si>
  <si>
    <t>TIINM0055</t>
  </si>
  <si>
    <t>MECONERV PFS  Inj.</t>
  </si>
  <si>
    <t>FTINM0001</t>
  </si>
  <si>
    <t>TLINM0026</t>
  </si>
  <si>
    <t>MECONERV Z SYRUP</t>
  </si>
  <si>
    <t>TTINM0169</t>
  </si>
  <si>
    <t>TTINM0172</t>
  </si>
  <si>
    <t>FCINM0109</t>
  </si>
  <si>
    <t>FCINM0177</t>
  </si>
  <si>
    <t>TCINM0210</t>
  </si>
  <si>
    <t>TPINM0186</t>
  </si>
  <si>
    <t>MICROMOM</t>
  </si>
  <si>
    <t>TPINM0199</t>
  </si>
  <si>
    <t>MICROMOM (Chocolate)</t>
  </si>
  <si>
    <t>TLINO0003</t>
  </si>
  <si>
    <t>OSMITOL</t>
  </si>
  <si>
    <t>FTINP0333</t>
  </si>
  <si>
    <t>FTINP0331</t>
  </si>
  <si>
    <t>FTINP0332</t>
  </si>
  <si>
    <t>FTINR0095</t>
  </si>
  <si>
    <t>FCINR0049</t>
  </si>
  <si>
    <t>TCINR0008</t>
  </si>
  <si>
    <t>FCINS0032</t>
  </si>
  <si>
    <t>SPASMOPRIV CAP</t>
  </si>
  <si>
    <t>TCINT0008</t>
  </si>
  <si>
    <t>FTINT0628</t>
  </si>
  <si>
    <t>TTINT0072</t>
  </si>
  <si>
    <t>TCINT0009</t>
  </si>
  <si>
    <t>TTINT0087</t>
  </si>
  <si>
    <t>FTINT0305</t>
  </si>
  <si>
    <t>TTINT0027</t>
  </si>
  <si>
    <t>TOLPAZEN</t>
  </si>
  <si>
    <t>TOINT0010</t>
  </si>
  <si>
    <t>FTINU0013</t>
  </si>
  <si>
    <t>FIINB0003</t>
  </si>
  <si>
    <t>BIPACEF-1500 INJECTION</t>
  </si>
  <si>
    <t>FTINB0380</t>
  </si>
  <si>
    <t>FTINB0379</t>
  </si>
  <si>
    <t>FIINB0002</t>
  </si>
  <si>
    <t>BIPACEF-750 INJECTION</t>
  </si>
  <si>
    <t>TIINC0001</t>
  </si>
  <si>
    <t>CEFFGLOBE S INJ</t>
  </si>
  <si>
    <t>TIINC0005</t>
  </si>
  <si>
    <t>TIINC0003</t>
  </si>
  <si>
    <t>TIINC0004</t>
  </si>
  <si>
    <t>CEFGLOBE-S 2G</t>
  </si>
  <si>
    <t>TIIND0008</t>
  </si>
  <si>
    <t>DARBOSIS 25</t>
  </si>
  <si>
    <t>TIIND0007</t>
  </si>
  <si>
    <t>DARBOSIS 40</t>
  </si>
  <si>
    <t>TIIND0003</t>
  </si>
  <si>
    <t>DOLO INFUSION</t>
  </si>
  <si>
    <t>TIIND0011</t>
  </si>
  <si>
    <t>DOLO IVG 100ml</t>
  </si>
  <si>
    <t>TIINE0009</t>
  </si>
  <si>
    <t>EPOSIS 10000 IU PFS</t>
  </si>
  <si>
    <t>TIINE0008</t>
  </si>
  <si>
    <t>EPOSIS 4000 IU PFS</t>
  </si>
  <si>
    <t>TIINF0012</t>
  </si>
  <si>
    <t>FERISOME FCM 500 INJECTION 10ML</t>
  </si>
  <si>
    <t>TTINF0036</t>
  </si>
  <si>
    <t>TIINH0005</t>
  </si>
  <si>
    <t>HOPSTIN</t>
  </si>
  <si>
    <t>TIINH0006</t>
  </si>
  <si>
    <t>HOPSTIN FORTE</t>
  </si>
  <si>
    <t>TIINH0008</t>
  </si>
  <si>
    <t>HOPSTIN 3</t>
  </si>
  <si>
    <t>TIINH0007</t>
  </si>
  <si>
    <t>HOPSTIN 4.5</t>
  </si>
  <si>
    <t>TIINI0001</t>
  </si>
  <si>
    <t>ICUFOS</t>
  </si>
  <si>
    <t>TLINL0003</t>
  </si>
  <si>
    <t>LINOSEPT 300 IV</t>
  </si>
  <si>
    <t>TIINM0016</t>
  </si>
  <si>
    <t>TIINM0041</t>
  </si>
  <si>
    <t>MICRODOX INJECTION</t>
  </si>
  <si>
    <t>TIINM0007</t>
  </si>
  <si>
    <t>MICROFER INJECTION</t>
  </si>
  <si>
    <t>TIINM0017</t>
  </si>
  <si>
    <t>MICROMAX</t>
  </si>
  <si>
    <t>TIINM0034</t>
  </si>
  <si>
    <t>MICROPENAM S</t>
  </si>
  <si>
    <t>TIINM0026</t>
  </si>
  <si>
    <t>TIINM0025</t>
  </si>
  <si>
    <t>TIINM0022</t>
  </si>
  <si>
    <t>TIINM0001</t>
  </si>
  <si>
    <t>MICROPIME INJECTION</t>
  </si>
  <si>
    <t>TIINM0008</t>
  </si>
  <si>
    <t>MICROTAZ INJ</t>
  </si>
  <si>
    <t>TIINM0013</t>
  </si>
  <si>
    <t>MICROTAZ INJ 2.25</t>
  </si>
  <si>
    <t>TIINM0027</t>
  </si>
  <si>
    <t>TTINM0018</t>
  </si>
  <si>
    <t>FIINR0003</t>
  </si>
  <si>
    <t>TIINR0010</t>
  </si>
  <si>
    <t>RITECEF S 1.5 G INJECTION</t>
  </si>
  <si>
    <t>FIINR0001</t>
  </si>
  <si>
    <t>RITECEF-1G INJECTION</t>
  </si>
  <si>
    <t>TPINS0001</t>
  </si>
  <si>
    <t>TIINT0001</t>
  </si>
  <si>
    <t>TEGLIN</t>
  </si>
  <si>
    <t>TIINZ0002</t>
  </si>
  <si>
    <t xml:space="preserve">AMLONG - 5 </t>
  </si>
  <si>
    <t xml:space="preserve">AMLONG 10 </t>
  </si>
  <si>
    <t xml:space="preserve">AMLONG 2.5 </t>
  </si>
  <si>
    <t xml:space="preserve">AMLONG MT 5/25 </t>
  </si>
  <si>
    <t xml:space="preserve">AMLONG TRIO </t>
  </si>
  <si>
    <t xml:space="preserve">AMLONG-A </t>
  </si>
  <si>
    <t xml:space="preserve">APIVAS 2.5 </t>
  </si>
  <si>
    <t xml:space="preserve">APIVAS 5 </t>
  </si>
  <si>
    <t xml:space="preserve">AVAS-F </t>
  </si>
  <si>
    <t xml:space="preserve">BRIGREL </t>
  </si>
  <si>
    <t xml:space="preserve">RIVOLAS-10 </t>
  </si>
  <si>
    <t xml:space="preserve">RIVOLAS-15 </t>
  </si>
  <si>
    <t xml:space="preserve">RIVOLAS-2.5 </t>
  </si>
  <si>
    <t xml:space="preserve">RIVOLAS-20 </t>
  </si>
  <si>
    <t xml:space="preserve">SITANORM 100 </t>
  </si>
  <si>
    <t xml:space="preserve">SITANORM 25 </t>
  </si>
  <si>
    <t xml:space="preserve">SITANORM 50 </t>
  </si>
  <si>
    <t xml:space="preserve">CARVIDON-MT </t>
  </si>
  <si>
    <t xml:space="preserve">NEBILONG </t>
  </si>
  <si>
    <t xml:space="preserve">OLMAT-40 AM </t>
  </si>
  <si>
    <t xml:space="preserve">OLMAT-40 AMH </t>
  </si>
  <si>
    <t xml:space="preserve">DAJIO-10 </t>
  </si>
  <si>
    <t xml:space="preserve">DAJIO-M 1000 </t>
  </si>
  <si>
    <t xml:space="preserve">DAJIO-M 500 </t>
  </si>
  <si>
    <t xml:space="preserve">ARBITEL-AMH </t>
  </si>
  <si>
    <t xml:space="preserve">ARBITEL-AV </t>
  </si>
  <si>
    <t xml:space="preserve">ARBITEL-MT 25 </t>
  </si>
  <si>
    <t xml:space="preserve">ARBITEL-MT 50 </t>
  </si>
  <si>
    <t xml:space="preserve">BISOT- 2.5 </t>
  </si>
  <si>
    <t xml:space="preserve">BISOT- 5 </t>
  </si>
  <si>
    <t xml:space="preserve">CHANNEL 120-SR </t>
  </si>
  <si>
    <t xml:space="preserve">CHANNEL 90-SR </t>
  </si>
  <si>
    <t xml:space="preserve">FIBROVAS - 160 </t>
  </si>
  <si>
    <t xml:space="preserve">HOPACE-2.5  </t>
  </si>
  <si>
    <t xml:space="preserve">HOPACE-5  </t>
  </si>
  <si>
    <t xml:space="preserve">EMPAPRO-10 </t>
  </si>
  <si>
    <t xml:space="preserve">EMPAPRO-25 </t>
  </si>
  <si>
    <t xml:space="preserve">EMPAPRO-L 10/5 </t>
  </si>
  <si>
    <t xml:space="preserve">EMPAPRO-L 25/5 </t>
  </si>
  <si>
    <t xml:space="preserve">EMPAPRO-LM 1000 </t>
  </si>
  <si>
    <t xml:space="preserve">EMPAPRO-M 12.5/1000 </t>
  </si>
  <si>
    <t xml:space="preserve">EMPAPRO-M 12.5/500 </t>
  </si>
  <si>
    <t xml:space="preserve">EMPAPRO-M 25/1000 ER </t>
  </si>
  <si>
    <t xml:space="preserve">SITAPRIDE-100 </t>
  </si>
  <si>
    <t xml:space="preserve">SITAPRIDE-25 </t>
  </si>
  <si>
    <t xml:space="preserve">SITAPRIDE-50 </t>
  </si>
  <si>
    <t xml:space="preserve">DOLO MF </t>
  </si>
  <si>
    <t xml:space="preserve">DOLO TH 4 </t>
  </si>
  <si>
    <t xml:space="preserve">DOLO-T </t>
  </si>
  <si>
    <t xml:space="preserve">ANXIT 0.25 </t>
  </si>
  <si>
    <t xml:space="preserve">GRAMOCEF CV </t>
  </si>
  <si>
    <t xml:space="preserve">LEVACETAM-1000 </t>
  </si>
  <si>
    <t xml:space="preserve">LEVACETAM-250 </t>
  </si>
  <si>
    <t xml:space="preserve">LEVACETAM-500 </t>
  </si>
  <si>
    <t xml:space="preserve">LEVACETAM-750 </t>
  </si>
  <si>
    <t xml:space="preserve">PANEX-CR-12.5 </t>
  </si>
  <si>
    <t xml:space="preserve">PANEX-CR-25 </t>
  </si>
  <si>
    <t xml:space="preserve">RISPOND PLUS </t>
  </si>
  <si>
    <t xml:space="preserve">RISPOND PLUS-LS </t>
  </si>
  <si>
    <t xml:space="preserve">VERSIDEP </t>
  </si>
  <si>
    <t xml:space="preserve">YOGAZAM-10 </t>
  </si>
  <si>
    <t xml:space="preserve">YOGAZAM-5 </t>
  </si>
  <si>
    <t>PREDACE-16</t>
  </si>
  <si>
    <t xml:space="preserve">PREDACE-4 </t>
  </si>
  <si>
    <t xml:space="preserve">PREDACE-8 </t>
  </si>
  <si>
    <t xml:space="preserve">TNIB </t>
  </si>
  <si>
    <t xml:space="preserve">BIPACEF-250 </t>
  </si>
  <si>
    <t xml:space="preserve">MYCOPHEN 500 </t>
  </si>
  <si>
    <t xml:space="preserve">ANGIPLAT 2.5 </t>
  </si>
  <si>
    <t xml:space="preserve">ANGIPLAT 6.5 </t>
  </si>
  <si>
    <t xml:space="preserve">MICRODOX-LBX </t>
  </si>
  <si>
    <t xml:space="preserve">MICROCID SR </t>
  </si>
  <si>
    <t xml:space="preserve">MICROCID P </t>
  </si>
  <si>
    <t xml:space="preserve">AMLONG A 25 </t>
  </si>
  <si>
    <t xml:space="preserve">AVAS 40 </t>
  </si>
  <si>
    <t xml:space="preserve">DIANORM OD 30 </t>
  </si>
  <si>
    <t xml:space="preserve">DIANORM OD 60 </t>
  </si>
  <si>
    <t xml:space="preserve">DIANORM  </t>
  </si>
  <si>
    <t xml:space="preserve">DIANORM-M OD </t>
  </si>
  <si>
    <t xml:space="preserve">CARVIDON </t>
  </si>
  <si>
    <t xml:space="preserve">NEBILONG H </t>
  </si>
  <si>
    <t xml:space="preserve">TORSINEX 10 </t>
  </si>
  <si>
    <t xml:space="preserve">TORSINEX 100 </t>
  </si>
  <si>
    <t xml:space="preserve">TORSINEX 20 </t>
  </si>
  <si>
    <t xml:space="preserve">PIONORM 15 </t>
  </si>
  <si>
    <t xml:space="preserve">PIONORM 30 </t>
  </si>
  <si>
    <t xml:space="preserve">PIONORM-M 15 </t>
  </si>
  <si>
    <t xml:space="preserve">AMIODAR 100 </t>
  </si>
  <si>
    <t xml:space="preserve">AMIODAR 200 </t>
  </si>
  <si>
    <t xml:space="preserve">ARBITEL H </t>
  </si>
  <si>
    <t xml:space="preserve">ASTIN 40 </t>
  </si>
  <si>
    <t xml:space="preserve">ASTIN 80 </t>
  </si>
  <si>
    <t xml:space="preserve">CHANNEL 30 </t>
  </si>
  <si>
    <t xml:space="preserve">CHANNEL 60 </t>
  </si>
  <si>
    <t xml:space="preserve">METAPRO 25 </t>
  </si>
  <si>
    <t xml:space="preserve">METAPRO 3D 25 </t>
  </si>
  <si>
    <t xml:space="preserve">METAPRO 3D 50 </t>
  </si>
  <si>
    <t xml:space="preserve">METAPRO 50 </t>
  </si>
  <si>
    <t xml:space="preserve">NITROFIX 30 SR </t>
  </si>
  <si>
    <t xml:space="preserve">NITROFIX 60 SR </t>
  </si>
  <si>
    <t xml:space="preserve">DIAPRIDE 4 </t>
  </si>
  <si>
    <t xml:space="preserve">DIBIZIDE M </t>
  </si>
  <si>
    <t xml:space="preserve">DOLO -650 </t>
  </si>
  <si>
    <t xml:space="preserve">DOLO-500 </t>
  </si>
  <si>
    <t xml:space="preserve">EBAST  </t>
  </si>
  <si>
    <t xml:space="preserve">GRAMOCEF O 100 DT </t>
  </si>
  <si>
    <t xml:space="preserve">GRAMOCEF 400 DT </t>
  </si>
  <si>
    <t xml:space="preserve">SILYBON 140 </t>
  </si>
  <si>
    <t xml:space="preserve">SILYBON 70 </t>
  </si>
  <si>
    <t xml:space="preserve">ANXIT 0.5 SR </t>
  </si>
  <si>
    <t xml:space="preserve">ANXIT PLUS </t>
  </si>
  <si>
    <t xml:space="preserve">DOLOWIN PLUS </t>
  </si>
  <si>
    <t xml:space="preserve">DOLOWIN MR </t>
  </si>
  <si>
    <t xml:space="preserve">DOLOWIN SR </t>
  </si>
  <si>
    <t xml:space="preserve">DOLOWIN </t>
  </si>
  <si>
    <t xml:space="preserve">ESOFAG 40 </t>
  </si>
  <si>
    <t xml:space="preserve">DOTHIP 75 </t>
  </si>
  <si>
    <t xml:space="preserve">NICERBIUM </t>
  </si>
  <si>
    <t xml:space="preserve">OLAN 10 </t>
  </si>
  <si>
    <t xml:space="preserve">OLAN 2.5 </t>
  </si>
  <si>
    <t xml:space="preserve">OLAN 5 </t>
  </si>
  <si>
    <t xml:space="preserve">PARKIN PLUS </t>
  </si>
  <si>
    <t xml:space="preserve">PETRIL 0.5 </t>
  </si>
  <si>
    <t xml:space="preserve">RISPOND 3 </t>
  </si>
  <si>
    <t xml:space="preserve">RISPOND 4 </t>
  </si>
  <si>
    <t xml:space="preserve">RISPOND FORTE </t>
  </si>
  <si>
    <t xml:space="preserve">S-CELEPRA 10 </t>
  </si>
  <si>
    <t xml:space="preserve">S-CELEPRA 20 </t>
  </si>
  <si>
    <t xml:space="preserve">S-CELEPRA 5 </t>
  </si>
  <si>
    <t xml:space="preserve">VALPRID CR 500 </t>
  </si>
  <si>
    <t xml:space="preserve">MECONERV 1500 </t>
  </si>
  <si>
    <t xml:space="preserve">MECONERV </t>
  </si>
  <si>
    <t xml:space="preserve">RABIROS 20 </t>
  </si>
  <si>
    <t xml:space="preserve">TOLPA D </t>
  </si>
  <si>
    <t xml:space="preserve">ULTRAM </t>
  </si>
  <si>
    <t xml:space="preserve">AMLONG MT 25 </t>
  </si>
  <si>
    <t xml:space="preserve">AMLONG MT 50 </t>
  </si>
  <si>
    <t xml:space="preserve">TURBOVAS-20 </t>
  </si>
  <si>
    <t xml:space="preserve">TURBOVAS-5  </t>
  </si>
  <si>
    <t xml:space="preserve">CARVIDON-MR  </t>
  </si>
  <si>
    <t xml:space="preserve">NEBILONG-AM </t>
  </si>
  <si>
    <t xml:space="preserve">NULONG 10  </t>
  </si>
  <si>
    <t xml:space="preserve">NULONG 20  </t>
  </si>
  <si>
    <t xml:space="preserve">NULONG 5  </t>
  </si>
  <si>
    <t xml:space="preserve">OLMAT-40 </t>
  </si>
  <si>
    <t xml:space="preserve">AMLOZAAR  </t>
  </si>
  <si>
    <t xml:space="preserve">AMLOZAAR-H  </t>
  </si>
  <si>
    <t xml:space="preserve">VILPOWER M 500  </t>
  </si>
  <si>
    <t xml:space="preserve">TELROSE  </t>
  </si>
  <si>
    <t xml:space="preserve">DOTHIP-25  </t>
  </si>
  <si>
    <t xml:space="preserve">PARKIN  </t>
  </si>
  <si>
    <t xml:space="preserve">PETRIL BETA-10  </t>
  </si>
  <si>
    <t xml:space="preserve">PETRIL PLUS  </t>
  </si>
  <si>
    <t xml:space="preserve">VALPRID-CR 200  </t>
  </si>
  <si>
    <t xml:space="preserve">VALPRID-CR 300  </t>
  </si>
  <si>
    <t>AMLONG TL 40</t>
  </si>
  <si>
    <t>NULONG TRIO 40</t>
  </si>
  <si>
    <t xml:space="preserve">OLMAT-10 </t>
  </si>
  <si>
    <t xml:space="preserve">OLMAT-20 </t>
  </si>
  <si>
    <t xml:space="preserve">VILDAPRIDE M 50/500  </t>
  </si>
  <si>
    <t>SITAPRIDE-E 10</t>
  </si>
  <si>
    <t>SITAPRIDE-E 25</t>
  </si>
  <si>
    <t>SITAPRIDE-EM 1000</t>
  </si>
  <si>
    <t>LEVOBACT 250</t>
  </si>
  <si>
    <t xml:space="preserve">LEVOBACT 500 </t>
  </si>
  <si>
    <t xml:space="preserve">EPITOP 25 </t>
  </si>
  <si>
    <t xml:space="preserve">EPITOP 50  </t>
  </si>
  <si>
    <t>MAXPRIDE - 100</t>
  </si>
  <si>
    <t>MAXPRIDE - 200</t>
  </si>
  <si>
    <t>MAXPRIDE - 50</t>
  </si>
  <si>
    <t xml:space="preserve">PETRIL MD 0.25   </t>
  </si>
  <si>
    <t xml:space="preserve">PETRIL MD 0.5   </t>
  </si>
  <si>
    <t>MEROJECT INJECTION -1000</t>
  </si>
  <si>
    <t xml:space="preserve">MICROPENAM-500 </t>
  </si>
  <si>
    <t>MICROPIME - T(1G+125)</t>
  </si>
  <si>
    <t>RITECEF - T (1G+125) INJECTION</t>
  </si>
  <si>
    <t xml:space="preserve">AMLONG-H  </t>
  </si>
  <si>
    <t xml:space="preserve">DIANORM M  </t>
  </si>
  <si>
    <t xml:space="preserve">OLMAT MT 25 </t>
  </si>
  <si>
    <t xml:space="preserve">OLMAT MT 50 </t>
  </si>
  <si>
    <t xml:space="preserve">METAPRO-XL 25  </t>
  </si>
  <si>
    <t xml:space="preserve">METAPRO-XL 50  - </t>
  </si>
  <si>
    <t xml:space="preserve">DIAPRIDE M 2 </t>
  </si>
  <si>
    <t xml:space="preserve">Z&amp;B- SOFLET </t>
  </si>
  <si>
    <t xml:space="preserve">ANXIT 0.5  </t>
  </si>
  <si>
    <t xml:space="preserve">AVAS-10  </t>
  </si>
  <si>
    <t xml:space="preserve">AVAS-20  </t>
  </si>
  <si>
    <t xml:space="preserve">AVAS-5  </t>
  </si>
  <si>
    <t xml:space="preserve">ASTIN-10  </t>
  </si>
  <si>
    <t xml:space="preserve">ASTIN-20  </t>
  </si>
  <si>
    <t xml:space="preserve">HOPACE 5 () </t>
  </si>
  <si>
    <t>DIAPRIDE 1  ()</t>
  </si>
  <si>
    <t>DIAPRIDE-2  ()</t>
  </si>
  <si>
    <t xml:space="preserve">PLAGERINE A 150 </t>
  </si>
  <si>
    <t xml:space="preserve">PLAGERINE A </t>
  </si>
  <si>
    <t xml:space="preserve">HOPACE H-2.5 </t>
  </si>
  <si>
    <t xml:space="preserve">HOPACE H-5 </t>
  </si>
  <si>
    <t xml:space="preserve">MECONERV PLUS </t>
  </si>
  <si>
    <t xml:space="preserve">ESOFAG D </t>
  </si>
  <si>
    <t xml:space="preserve">NEURICA-M 75 </t>
  </si>
  <si>
    <t xml:space="preserve">MECONERV FORTE </t>
  </si>
  <si>
    <t xml:space="preserve">MICROCID </t>
  </si>
  <si>
    <t xml:space="preserve">RABIROS D </t>
  </si>
  <si>
    <t>TOLFEN ULE</t>
  </si>
  <si>
    <t xml:space="preserve">MOXILONG-0.2  </t>
  </si>
  <si>
    <t xml:space="preserve">MOXILONG-0.3  </t>
  </si>
  <si>
    <t xml:space="preserve">DIANORM TOTAL - 60 </t>
  </si>
  <si>
    <t xml:space="preserve">TURBOVAS ASP  </t>
  </si>
  <si>
    <t xml:space="preserve">TURBOVAS ASP 20  </t>
  </si>
  <si>
    <t xml:space="preserve">TURBOVAS-10  </t>
  </si>
  <si>
    <t xml:space="preserve">NEBILONG-2.5  </t>
  </si>
  <si>
    <t xml:space="preserve">NULONG MT 25  </t>
  </si>
  <si>
    <t xml:space="preserve">NULONG MT 50  </t>
  </si>
  <si>
    <t xml:space="preserve">NULONG-T  </t>
  </si>
  <si>
    <t xml:space="preserve">OLMAT-40 H  </t>
  </si>
  <si>
    <t xml:space="preserve">ARNIV - 200  </t>
  </si>
  <si>
    <t xml:space="preserve">VOGLINORM-0.2  </t>
  </si>
  <si>
    <t xml:space="preserve">VOGLINORM-0.3  </t>
  </si>
  <si>
    <t xml:space="preserve">ARBITEL-20  </t>
  </si>
  <si>
    <t xml:space="preserve">ARBITEL-AM  </t>
  </si>
  <si>
    <t xml:space="preserve">DIAPRIDE M4 FORTE </t>
  </si>
  <si>
    <t xml:space="preserve">DIAPRIDE-M1 FORTE  </t>
  </si>
  <si>
    <t xml:space="preserve">DIAPRIDE-M2 FORTE  </t>
  </si>
  <si>
    <t xml:space="preserve">DIAPRIDE-M3 FORTE  </t>
  </si>
  <si>
    <t xml:space="preserve">BIOVITAL  </t>
  </si>
  <si>
    <t xml:space="preserve">PETRIL 2  </t>
  </si>
  <si>
    <t xml:space="preserve">RISPOND-2  </t>
  </si>
  <si>
    <t xml:space="preserve">FERISOME TAB </t>
  </si>
  <si>
    <t xml:space="preserve">PLAGERINE  </t>
  </si>
  <si>
    <t xml:space="preserve">TELPLUS TRIO </t>
  </si>
  <si>
    <t xml:space="preserve">ANGIZAAR-50  </t>
  </si>
  <si>
    <t xml:space="preserve">ANGIZAAR-H  </t>
  </si>
  <si>
    <t xml:space="preserve">CARVIDON-OD  </t>
  </si>
  <si>
    <t xml:space="preserve">OLMAT-20 AM  </t>
  </si>
  <si>
    <t xml:space="preserve">OLMAT-20 AMH  </t>
  </si>
  <si>
    <t xml:space="preserve">ARNIV - 100  </t>
  </si>
  <si>
    <t xml:space="preserve">ARNIV - 50  </t>
  </si>
  <si>
    <t xml:space="preserve">ARBITEL TRIO 50 </t>
  </si>
  <si>
    <t xml:space="preserve">ARBITEL-40  </t>
  </si>
  <si>
    <t xml:space="preserve">DIAPRIDE M 3 </t>
  </si>
  <si>
    <t xml:space="preserve">DIAPRIDE M 4 </t>
  </si>
  <si>
    <t xml:space="preserve">VILDAPRIDE 50  </t>
  </si>
  <si>
    <t xml:space="preserve">EBAST M  </t>
  </si>
  <si>
    <t xml:space="preserve">EBAST-20  </t>
  </si>
  <si>
    <t xml:space="preserve">DOTHIP-50  </t>
  </si>
  <si>
    <t xml:space="preserve">PETRIL 1  </t>
  </si>
  <si>
    <t xml:space="preserve">PETRIL BETA-20  </t>
  </si>
  <si>
    <t xml:space="preserve">SITANORM - D 100/10 </t>
  </si>
  <si>
    <t xml:space="preserve">SITANORM - D 50/10 </t>
  </si>
  <si>
    <t xml:space="preserve">SITANORM - D 50/5 </t>
  </si>
  <si>
    <t xml:space="preserve">SITANORM DM 1000 </t>
  </si>
  <si>
    <t xml:space="preserve">SITANORM DM 500 </t>
  </si>
  <si>
    <t xml:space="preserve">SITANORM M 100/1000 </t>
  </si>
  <si>
    <t xml:space="preserve">SITANORM M 100/500 </t>
  </si>
  <si>
    <t xml:space="preserve">SITANORM M 50/1000 </t>
  </si>
  <si>
    <t xml:space="preserve">SITANORM M 50/500 </t>
  </si>
  <si>
    <t xml:space="preserve">SITANORM-E 10 </t>
  </si>
  <si>
    <t xml:space="preserve">SITANORM-E 25 </t>
  </si>
  <si>
    <t xml:space="preserve">SITANORM-EM 1000 </t>
  </si>
  <si>
    <t xml:space="preserve">HOPACE-1.25 </t>
  </si>
  <si>
    <t xml:space="preserve">HOPACE-10 </t>
  </si>
  <si>
    <t xml:space="preserve">SITAPRIDE - D 100/10 </t>
  </si>
  <si>
    <t xml:space="preserve">SITAPRIDE - D 50/5 </t>
  </si>
  <si>
    <t xml:space="preserve">SITAPRIDE DM 1000 </t>
  </si>
  <si>
    <t xml:space="preserve">SITAPRIDE DM 500 </t>
  </si>
  <si>
    <t xml:space="preserve">SITAPRIDE M 100/1000 </t>
  </si>
  <si>
    <t xml:space="preserve">SITAPRIDE M 100/500 </t>
  </si>
  <si>
    <t xml:space="preserve">SITAPRIDE M 50/1000 </t>
  </si>
  <si>
    <t xml:space="preserve">SITAPRIDE M 50/500 </t>
  </si>
  <si>
    <t xml:space="preserve">MICROBIS  </t>
  </si>
  <si>
    <t xml:space="preserve">BIOFER XT </t>
  </si>
  <si>
    <t xml:space="preserve">BONMIN XT  </t>
  </si>
  <si>
    <t xml:space="preserve">MECONERV Z </t>
  </si>
  <si>
    <t xml:space="preserve">TNIB-ER </t>
  </si>
  <si>
    <t xml:space="preserve">TOLFEN P </t>
  </si>
  <si>
    <t xml:space="preserve">VILPOWER DM 1000  </t>
  </si>
  <si>
    <t xml:space="preserve">VILPOWER DM 500  </t>
  </si>
  <si>
    <t xml:space="preserve">VILDAPRIDE DM 500  </t>
  </si>
  <si>
    <t xml:space="preserve">MICROBACT 250  </t>
  </si>
  <si>
    <t xml:space="preserve">NEBILONG TL  </t>
  </si>
  <si>
    <t xml:space="preserve">VILDAPRIDE DM 1000  </t>
  </si>
  <si>
    <t xml:space="preserve">GASTRIDE ULE </t>
  </si>
  <si>
    <t xml:space="preserve">LINOSEPT-600  </t>
  </si>
  <si>
    <t xml:space="preserve">MECONERV NP </t>
  </si>
  <si>
    <t xml:space="preserve">MICRO D3  </t>
  </si>
  <si>
    <t>MICROBACT 500  5s</t>
  </si>
  <si>
    <t xml:space="preserve">BIPACEF-500 </t>
  </si>
  <si>
    <t>ZAMBACT-A INJECTION 1 S</t>
  </si>
  <si>
    <t>SITANORM  1</t>
  </si>
  <si>
    <t>SITANORM  2</t>
  </si>
  <si>
    <t>SITANORM  Forte 1</t>
  </si>
  <si>
    <t>SITANORM  Forte 2</t>
  </si>
  <si>
    <t>DAJIO 1</t>
  </si>
  <si>
    <t>DAJIO 2</t>
  </si>
  <si>
    <t>DAJIO  Forte 2</t>
  </si>
  <si>
    <t xml:space="preserve">PIONORM-1 </t>
  </si>
  <si>
    <t xml:space="preserve">PIONORM-2 </t>
  </si>
  <si>
    <t xml:space="preserve">VOGLINORM  1 </t>
  </si>
  <si>
    <t xml:space="preserve">VOGLINORM  2  </t>
  </si>
  <si>
    <t>VOGLINORM  Forte 2</t>
  </si>
  <si>
    <t>VOGLINORM 2/0.3</t>
  </si>
  <si>
    <t xml:space="preserve">DOLO - 1 </t>
  </si>
  <si>
    <t>DOLOWIN NANO GEL 30</t>
  </si>
  <si>
    <t xml:space="preserve">CEFGLOBE S FORTE 3 </t>
  </si>
  <si>
    <t xml:space="preserve">CEFGLOBE SFORTE1.5 </t>
  </si>
  <si>
    <t>MICROPENAM-1</t>
  </si>
  <si>
    <t>MICROTAZ INJECTION 1.125</t>
  </si>
  <si>
    <t>SEEBIND 15(SACHET)</t>
  </si>
  <si>
    <t xml:space="preserve">IREX SYP/IREX </t>
  </si>
  <si>
    <t>Z &amp; B /SOFTLET</t>
  </si>
  <si>
    <t>BIOFER XT /SYP</t>
  </si>
  <si>
    <t xml:space="preserve">BONMIN XT </t>
  </si>
  <si>
    <t xml:space="preserve">MICRO D3 </t>
  </si>
  <si>
    <t>Dolo 650 Scheme Calculation</t>
  </si>
  <si>
    <t xml:space="preserve">MICRODOX LBX </t>
  </si>
  <si>
    <t xml:space="preserve">ANGIZAAR  25  </t>
  </si>
  <si>
    <t xml:space="preserve">DIAPRIDE M 1 </t>
  </si>
  <si>
    <t>DIAPRIDE DM 1 -</t>
  </si>
  <si>
    <t xml:space="preserve">VOGLINORM-M </t>
  </si>
  <si>
    <t>DIAPRIDE DM 2 -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</si>
</sst>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5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9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9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0000"/>
        <bgColor rgb="FF000000"/>
      </patternFill>
    </fill>
  </fills>
  <borders count="2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17" xfId="0" applyBorder="1"/>
    <xf numFmtId="0" fontId="1" fillId="2" borderId="17" xfId="0" applyFont="1" applyFill="1" applyBorder="1" applyAlignment="1">
      <alignment horizontal="center" vertical="center" wrapText="1"/>
    </xf>
    <xf numFmtId="0" fontId="2" fillId="0" borderId="17" xfId="0" applyFont="1" applyBorder="1"/>
    <xf numFmtId="15" fontId="2" fillId="0" borderId="17" xfId="0" applyNumberFormat="1" applyFont="1" applyBorder="1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9" fillId="0" borderId="1" xfId="0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10" fillId="0" borderId="0" xfId="0" applyFont="1"/>
    <xf numFmtId="0" fontId="11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2" fillId="0" borderId="0" xfId="0" applyFont="1"/>
    <xf numFmtId="0" fontId="8" fillId="0" borderId="0" xfId="0" applyFont="1"/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0" fontId="8" fillId="0" borderId="4" xfId="0" applyFont="1" applyBorder="1"/>
    <xf numFmtId="0" fontId="8" fillId="0" borderId="5" xfId="0" applyFont="1" applyBorder="1"/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9" fontId="15" fillId="0" borderId="5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9" fontId="16" fillId="0" borderId="5" xfId="0" applyNumberFormat="1" applyFont="1" applyBorder="1" applyAlignment="1">
      <alignment horizontal="center" vertical="center"/>
    </xf>
    <xf numFmtId="0" fontId="10" fillId="0" borderId="5" xfId="0" applyFont="1" applyBorder="1"/>
    <xf numFmtId="0" fontId="17" fillId="0" borderId="5" xfId="0" applyFont="1" applyBorder="1" applyAlignment="1">
      <alignment horizontal="left" vertical="center"/>
    </xf>
    <xf numFmtId="0" fontId="10" fillId="0" borderId="6" xfId="0" applyFont="1" applyBorder="1"/>
    <xf numFmtId="0" fontId="10" fillId="0" borderId="1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1" xfId="0" applyFont="1" applyBorder="1"/>
    <xf numFmtId="0" fontId="10" fillId="0" borderId="3" xfId="0" applyFont="1" applyBorder="1"/>
    <xf numFmtId="0" fontId="10" fillId="0" borderId="7" xfId="0" applyFont="1" applyBorder="1" applyAlignment="1">
      <alignment horizontal="left" vertical="center"/>
    </xf>
    <xf numFmtId="0" fontId="10" fillId="0" borderId="8" xfId="0" applyFont="1" applyBorder="1"/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/>
    <xf numFmtId="0" fontId="18" fillId="0" borderId="3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1" fontId="10" fillId="0" borderId="0" xfId="0" applyNumberFormat="1" applyFont="1"/>
    <xf numFmtId="0" fontId="10" fillId="0" borderId="2" xfId="0" applyFont="1" applyBorder="1" applyAlignment="1">
      <alignment horizontal="left" vertical="center"/>
    </xf>
    <xf numFmtId="0" fontId="10" fillId="0" borderId="2" xfId="0" applyFont="1" applyBorder="1"/>
    <xf numFmtId="1" fontId="18" fillId="0" borderId="1" xfId="0" applyNumberFormat="1" applyFont="1" applyBorder="1" applyAlignment="1">
      <alignment horizontal="center" vertical="center"/>
    </xf>
    <xf numFmtId="1" fontId="18" fillId="0" borderId="3" xfId="0" applyNumberFormat="1" applyFont="1" applyBorder="1" applyAlignment="1">
      <alignment horizontal="center" vertical="center"/>
    </xf>
    <xf numFmtId="1" fontId="10" fillId="0" borderId="1" xfId="0" applyNumberFormat="1" applyFont="1" applyBorder="1"/>
    <xf numFmtId="0" fontId="18" fillId="0" borderId="3" xfId="0" applyFont="1" applyBorder="1"/>
    <xf numFmtId="0" fontId="10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/>
    <xf numFmtId="0" fontId="10" fillId="0" borderId="11" xfId="0" applyFont="1" applyBorder="1"/>
    <xf numFmtId="1" fontId="10" fillId="0" borderId="0" xfId="0" applyNumberFormat="1" applyFont="1" applyAlignment="1">
      <alignment horizontal="center" vertical="center"/>
    </xf>
    <xf numFmtId="0" fontId="20" fillId="0" borderId="0" xfId="0" applyFont="1"/>
    <xf numFmtId="0" fontId="20" fillId="0" borderId="18" xfId="0" applyFont="1" applyBorder="1"/>
    <xf numFmtId="0" fontId="20" fillId="0" borderId="19" xfId="0" applyFont="1" applyBorder="1"/>
    <xf numFmtId="0" fontId="20" fillId="3" borderId="19" xfId="0" applyFont="1" applyFill="1" applyBorder="1" applyAlignment="1">
      <alignment horizontal="right"/>
    </xf>
    <xf numFmtId="0" fontId="20" fillId="3" borderId="19" xfId="0" applyFont="1" applyFill="1" applyBorder="1"/>
    <xf numFmtId="0" fontId="20" fillId="0" borderId="20" xfId="0" applyFont="1" applyBorder="1"/>
    <xf numFmtId="0" fontId="20" fillId="0" borderId="19" xfId="0" applyFont="1" applyBorder="1" applyAlignment="1">
      <alignment horizontal="right"/>
    </xf>
    <xf numFmtId="0" fontId="20" fillId="3" borderId="18" xfId="0" applyFont="1" applyFill="1" applyBorder="1"/>
    <xf numFmtId="0" fontId="20" fillId="3" borderId="20" xfId="0" applyFont="1" applyFill="1" applyBorder="1"/>
    <xf numFmtId="0" fontId="21" fillId="0" borderId="17" xfId="0" applyFont="1" applyBorder="1"/>
    <xf numFmtId="0" fontId="21" fillId="0" borderId="21" xfId="0" applyFont="1" applyBorder="1"/>
    <xf numFmtId="0" fontId="20" fillId="3" borderId="22" xfId="0" applyFont="1" applyFill="1" applyBorder="1"/>
    <xf numFmtId="0" fontId="20" fillId="3" borderId="23" xfId="0" applyFont="1" applyFill="1" applyBorder="1"/>
    <xf numFmtId="0" fontId="20" fillId="3" borderId="23" xfId="0" applyFont="1" applyFill="1" applyBorder="1" applyAlignment="1">
      <alignment horizontal="right"/>
    </xf>
    <xf numFmtId="0" fontId="20" fillId="3" borderId="24" xfId="0" applyFont="1" applyFill="1" applyBorder="1"/>
    <xf numFmtId="0" fontId="22" fillId="4" borderId="25" xfId="0" applyFont="1" applyFill="1" applyBorder="1" applyAlignment="1">
      <alignment horizontal="center" vertical="center" wrapText="1"/>
    </xf>
    <xf numFmtId="0" fontId="22" fillId="4" borderId="19" xfId="0" applyFont="1" applyFill="1" applyBorder="1" applyAlignment="1">
      <alignment horizontal="center" vertical="center" wrapText="1"/>
    </xf>
    <xf numFmtId="0" fontId="22" fillId="4" borderId="26" xfId="0" applyFont="1" applyFill="1" applyBorder="1" applyAlignment="1">
      <alignment horizontal="center" vertical="center" wrapText="1"/>
    </xf>
    <xf numFmtId="0" fontId="22" fillId="4" borderId="20" xfId="0" applyFont="1" applyFill="1" applyBorder="1" applyAlignment="1">
      <alignment horizontal="center" vertical="center" wrapText="1"/>
    </xf>
    <xf numFmtId="0" fontId="22" fillId="4" borderId="27" xfId="0" applyFont="1" applyFill="1" applyBorder="1" applyAlignment="1">
      <alignment horizontal="center" vertical="center" wrapText="1"/>
    </xf>
    <xf numFmtId="0" fontId="22" fillId="4" borderId="18" xfId="0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1"/>
  <sheetViews>
    <sheetView zoomScaleNormal="100" workbookViewId="0">
      <selection activeCell="E5" sqref="E5"/>
    </sheetView>
  </sheetViews>
  <sheetFormatPr defaultRowHeight="14.4" x14ac:dyDescent="0.3"/>
  <cols>
    <col min="1" max="1" width="7.33203125" customWidth="1"/>
    <col min="2" max="2" width="8.5546875" customWidth="1"/>
    <col min="3" max="3" width="25.6640625" customWidth="1"/>
    <col min="4" max="4" width="26.88671875" customWidth="1"/>
    <col min="5" max="5" width="25.6640625" customWidth="1"/>
    <col min="6" max="6" width="26.88671875" customWidth="1"/>
    <col min="7" max="7" width="20.77734375" customWidth="1"/>
    <col min="8" max="8" width="7.33203125" customWidth="1"/>
    <col min="9" max="9" width="15.88671875" customWidth="1"/>
    <col min="10" max="10" width="27" bestFit="1" customWidth="1"/>
    <col min="11" max="12" width="12.5546875" bestFit="1" customWidth="1"/>
    <col min="13" max="13" width="11" bestFit="1" customWidth="1"/>
    <col min="14" max="14" width="34.5546875" bestFit="1" customWidth="1"/>
    <col min="15" max="16" width="9.5546875" bestFit="1" customWidth="1"/>
    <col min="17" max="17" width="26.5546875" bestFit="1" customWidth="1"/>
    <col min="18" max="19" width="9.5546875" bestFit="1" customWidth="1"/>
    <col min="20" max="20" width="17.77734375" bestFit="1" customWidth="1"/>
    <col min="21" max="21" width="34.33203125" bestFit="1" customWidth="1"/>
  </cols>
  <sheetData>
    <row r="1" spans="1:2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7.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</row>
    <row r="3" spans="1:21" x14ac:dyDescent="0.3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>
        <v>695003</v>
      </c>
      <c r="I3" s="3" t="s">
        <v>29</v>
      </c>
      <c r="J3" s="1"/>
      <c r="K3" s="3">
        <v>4712720006</v>
      </c>
      <c r="L3" s="3">
        <v>9400068581</v>
      </c>
      <c r="M3" s="3">
        <v>9400068582</v>
      </c>
      <c r="N3" s="3" t="s">
        <v>30</v>
      </c>
      <c r="O3" s="1"/>
      <c r="P3" s="1"/>
      <c r="Q3" s="3" t="s">
        <v>31</v>
      </c>
      <c r="R3" s="1"/>
      <c r="S3" s="1"/>
      <c r="T3" s="3" t="s">
        <v>32</v>
      </c>
      <c r="U3" s="3" t="s">
        <v>33</v>
      </c>
    </row>
    <row r="4" spans="1:21" x14ac:dyDescent="0.3">
      <c r="A4" s="3" t="s">
        <v>34</v>
      </c>
      <c r="B4" s="3" t="s">
        <v>23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>
        <v>689645</v>
      </c>
      <c r="I4" s="3" t="s">
        <v>29</v>
      </c>
      <c r="J4" s="1"/>
      <c r="K4" s="1"/>
      <c r="L4" s="1"/>
      <c r="M4" s="1"/>
      <c r="N4" s="3" t="s">
        <v>40</v>
      </c>
      <c r="O4" s="4">
        <v>43949</v>
      </c>
      <c r="P4" s="4">
        <v>45774</v>
      </c>
      <c r="Q4" s="3" t="s">
        <v>41</v>
      </c>
      <c r="R4" s="4">
        <v>43949</v>
      </c>
      <c r="S4" s="4">
        <v>45774</v>
      </c>
      <c r="T4" s="3" t="s">
        <v>42</v>
      </c>
      <c r="U4" s="3" t="s">
        <v>43</v>
      </c>
    </row>
    <row r="5" spans="1:21" x14ac:dyDescent="0.3">
      <c r="A5" s="3" t="s">
        <v>44</v>
      </c>
      <c r="B5" s="3" t="s">
        <v>23</v>
      </c>
      <c r="C5" s="3" t="s">
        <v>45</v>
      </c>
      <c r="D5" s="3" t="s">
        <v>46</v>
      </c>
      <c r="E5" s="3" t="s">
        <v>47</v>
      </c>
      <c r="F5" s="3" t="s">
        <v>48</v>
      </c>
      <c r="G5" s="3" t="s">
        <v>49</v>
      </c>
      <c r="H5" s="3">
        <v>695101</v>
      </c>
      <c r="I5" s="3" t="s">
        <v>29</v>
      </c>
      <c r="J5" s="1"/>
      <c r="K5" s="3">
        <v>4702325679</v>
      </c>
      <c r="L5" s="3">
        <v>3256679</v>
      </c>
      <c r="M5" s="3">
        <v>9447428481</v>
      </c>
      <c r="N5" s="3" t="s">
        <v>50</v>
      </c>
      <c r="O5" s="4">
        <v>44562</v>
      </c>
      <c r="P5" s="4">
        <v>46387</v>
      </c>
      <c r="Q5" s="3" t="s">
        <v>51</v>
      </c>
      <c r="R5" s="4">
        <v>44562</v>
      </c>
      <c r="S5" s="4">
        <v>46387</v>
      </c>
      <c r="T5" s="3" t="s">
        <v>52</v>
      </c>
      <c r="U5" s="3" t="s">
        <v>53</v>
      </c>
    </row>
    <row r="6" spans="1:21" x14ac:dyDescent="0.3">
      <c r="A6" s="3" t="s">
        <v>54</v>
      </c>
      <c r="B6" s="3" t="s">
        <v>23</v>
      </c>
      <c r="C6" s="3" t="s">
        <v>55</v>
      </c>
      <c r="D6" s="3" t="s">
        <v>56</v>
      </c>
      <c r="E6" s="3" t="s">
        <v>57</v>
      </c>
      <c r="F6" s="3" t="s">
        <v>58</v>
      </c>
      <c r="G6" s="3" t="s">
        <v>28</v>
      </c>
      <c r="H6" s="3">
        <v>695001</v>
      </c>
      <c r="I6" s="3" t="s">
        <v>29</v>
      </c>
      <c r="J6" s="1"/>
      <c r="K6" s="1"/>
      <c r="L6" s="1"/>
      <c r="M6" s="1"/>
      <c r="N6" s="3" t="s">
        <v>59</v>
      </c>
      <c r="O6" s="1"/>
      <c r="P6" s="1"/>
      <c r="Q6" s="3" t="s">
        <v>60</v>
      </c>
      <c r="R6" s="1"/>
      <c r="S6" s="1"/>
      <c r="T6" s="3" t="s">
        <v>61</v>
      </c>
      <c r="U6" s="3" t="s">
        <v>62</v>
      </c>
    </row>
    <row r="7" spans="1:21" x14ac:dyDescent="0.3">
      <c r="A7" s="3" t="s">
        <v>63</v>
      </c>
      <c r="B7" s="3" t="s">
        <v>23</v>
      </c>
      <c r="C7" s="3" t="s">
        <v>64</v>
      </c>
      <c r="D7" s="3" t="s">
        <v>65</v>
      </c>
      <c r="E7" s="3" t="s">
        <v>66</v>
      </c>
      <c r="F7" s="3" t="s">
        <v>67</v>
      </c>
      <c r="G7" s="3" t="s">
        <v>68</v>
      </c>
      <c r="H7" s="3">
        <v>691001</v>
      </c>
      <c r="I7" s="3" t="s">
        <v>29</v>
      </c>
      <c r="J7" s="1"/>
      <c r="K7" s="3">
        <v>4742742815</v>
      </c>
      <c r="L7" s="1"/>
      <c r="M7" s="3">
        <v>9961205655</v>
      </c>
      <c r="N7" s="3" t="s">
        <v>69</v>
      </c>
      <c r="O7" s="4">
        <v>43770</v>
      </c>
      <c r="P7" s="4">
        <v>45596</v>
      </c>
      <c r="Q7" s="3" t="s">
        <v>70</v>
      </c>
      <c r="R7" s="4">
        <v>43770</v>
      </c>
      <c r="S7" s="4">
        <v>45596</v>
      </c>
      <c r="T7" s="3" t="s">
        <v>71</v>
      </c>
      <c r="U7" s="3" t="s">
        <v>72</v>
      </c>
    </row>
    <row r="8" spans="1:21" x14ac:dyDescent="0.3">
      <c r="A8" s="3" t="s">
        <v>73</v>
      </c>
      <c r="B8" s="3" t="s">
        <v>23</v>
      </c>
      <c r="C8" s="3" t="s">
        <v>74</v>
      </c>
      <c r="D8" s="3" t="s">
        <v>75</v>
      </c>
      <c r="E8" s="3" t="s">
        <v>76</v>
      </c>
      <c r="F8" s="3" t="s">
        <v>77</v>
      </c>
      <c r="G8" s="3" t="s">
        <v>78</v>
      </c>
      <c r="H8" s="3">
        <v>676121</v>
      </c>
      <c r="I8" s="3" t="s">
        <v>29</v>
      </c>
      <c r="J8" s="1"/>
      <c r="K8" s="1"/>
      <c r="L8" s="1"/>
      <c r="M8" s="1"/>
      <c r="N8" s="3" t="s">
        <v>79</v>
      </c>
      <c r="O8" s="4">
        <v>43054</v>
      </c>
      <c r="P8" s="4">
        <v>46706</v>
      </c>
      <c r="Q8" s="3" t="s">
        <v>80</v>
      </c>
      <c r="R8" s="4">
        <v>46706</v>
      </c>
      <c r="S8" s="4">
        <v>46706</v>
      </c>
      <c r="T8" s="3" t="s">
        <v>81</v>
      </c>
      <c r="U8" s="3" t="s">
        <v>82</v>
      </c>
    </row>
    <row r="9" spans="1:21" x14ac:dyDescent="0.3">
      <c r="A9" s="3" t="s">
        <v>83</v>
      </c>
      <c r="B9" s="3" t="s">
        <v>23</v>
      </c>
      <c r="C9" s="3" t="s">
        <v>84</v>
      </c>
      <c r="D9" s="3" t="s">
        <v>85</v>
      </c>
      <c r="E9" s="3" t="s">
        <v>86</v>
      </c>
      <c r="F9" s="3" t="s">
        <v>87</v>
      </c>
      <c r="G9" s="3" t="s">
        <v>86</v>
      </c>
      <c r="H9" s="3">
        <v>678001</v>
      </c>
      <c r="I9" s="3" t="s">
        <v>29</v>
      </c>
      <c r="J9" s="1"/>
      <c r="K9" s="3">
        <v>4912538977</v>
      </c>
      <c r="L9" s="3">
        <v>9447115735</v>
      </c>
      <c r="M9" s="3">
        <v>9846038033</v>
      </c>
      <c r="N9" s="3" t="s">
        <v>88</v>
      </c>
      <c r="O9" s="4">
        <v>44562</v>
      </c>
      <c r="P9" s="4">
        <v>46387</v>
      </c>
      <c r="Q9" s="3" t="s">
        <v>89</v>
      </c>
      <c r="R9" s="4">
        <v>44562</v>
      </c>
      <c r="S9" s="4">
        <v>46387</v>
      </c>
      <c r="T9" s="3" t="s">
        <v>90</v>
      </c>
      <c r="U9" s="3" t="s">
        <v>91</v>
      </c>
    </row>
    <row r="10" spans="1:21" x14ac:dyDescent="0.3">
      <c r="A10" s="3" t="s">
        <v>92</v>
      </c>
      <c r="B10" s="3" t="s">
        <v>23</v>
      </c>
      <c r="C10" s="3" t="s">
        <v>93</v>
      </c>
      <c r="D10" s="3" t="s">
        <v>94</v>
      </c>
      <c r="E10" s="3" t="s">
        <v>95</v>
      </c>
      <c r="F10" s="3" t="s">
        <v>96</v>
      </c>
      <c r="G10" s="3" t="s">
        <v>86</v>
      </c>
      <c r="H10" s="3">
        <v>678001</v>
      </c>
      <c r="I10" s="3" t="s">
        <v>29</v>
      </c>
      <c r="J10" s="1"/>
      <c r="K10" s="1"/>
      <c r="L10" s="1"/>
      <c r="M10" s="1"/>
      <c r="N10" s="3" t="s">
        <v>97</v>
      </c>
      <c r="O10" s="4">
        <v>43715</v>
      </c>
      <c r="P10" s="4">
        <v>45541</v>
      </c>
      <c r="Q10" s="3" t="s">
        <v>98</v>
      </c>
      <c r="R10" s="4">
        <v>43715</v>
      </c>
      <c r="S10" s="4">
        <v>45541</v>
      </c>
      <c r="T10" s="3" t="s">
        <v>99</v>
      </c>
      <c r="U10" s="3" t="s">
        <v>100</v>
      </c>
    </row>
    <row r="11" spans="1:21" x14ac:dyDescent="0.3">
      <c r="A11" s="3" t="s">
        <v>101</v>
      </c>
      <c r="B11" s="3" t="s">
        <v>23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>
        <v>671315</v>
      </c>
      <c r="I11" s="3" t="s">
        <v>29</v>
      </c>
      <c r="J11" s="1"/>
      <c r="K11" s="3" t="s">
        <v>107</v>
      </c>
      <c r="L11" s="1"/>
      <c r="M11" s="1"/>
      <c r="N11" s="3" t="s">
        <v>108</v>
      </c>
      <c r="O11" s="4">
        <v>42530</v>
      </c>
      <c r="P11" s="4">
        <v>44355</v>
      </c>
      <c r="Q11" s="3" t="s">
        <v>109</v>
      </c>
      <c r="R11" s="4">
        <v>42530</v>
      </c>
      <c r="S11" s="4">
        <v>44355</v>
      </c>
      <c r="T11" s="3" t="s">
        <v>110</v>
      </c>
      <c r="U11" s="3" t="s">
        <v>111</v>
      </c>
    </row>
    <row r="12" spans="1:21" x14ac:dyDescent="0.3">
      <c r="A12" s="3" t="s">
        <v>112</v>
      </c>
      <c r="B12" s="3" t="s">
        <v>23</v>
      </c>
      <c r="C12" s="3" t="s">
        <v>113</v>
      </c>
      <c r="D12" s="3" t="s">
        <v>114</v>
      </c>
      <c r="E12" s="3" t="s">
        <v>115</v>
      </c>
      <c r="F12" s="3" t="s">
        <v>116</v>
      </c>
      <c r="G12" s="3" t="s">
        <v>117</v>
      </c>
      <c r="H12" s="3">
        <v>679322</v>
      </c>
      <c r="I12" s="3" t="s">
        <v>29</v>
      </c>
      <c r="J12" s="3" t="s">
        <v>118</v>
      </c>
      <c r="K12" s="3" t="s">
        <v>119</v>
      </c>
      <c r="L12" s="3">
        <v>9496460135</v>
      </c>
      <c r="M12" s="3">
        <v>9446249228</v>
      </c>
      <c r="N12" s="3" t="s">
        <v>120</v>
      </c>
      <c r="O12" s="1"/>
      <c r="P12" s="4">
        <v>47573</v>
      </c>
      <c r="Q12" s="3" t="s">
        <v>121</v>
      </c>
      <c r="R12" s="1"/>
      <c r="S12" s="4">
        <v>47573</v>
      </c>
      <c r="T12" s="3" t="s">
        <v>122</v>
      </c>
      <c r="U12" s="3" t="s">
        <v>123</v>
      </c>
    </row>
    <row r="13" spans="1:21" x14ac:dyDescent="0.3">
      <c r="A13" s="3" t="s">
        <v>126</v>
      </c>
      <c r="B13" s="3" t="s">
        <v>23</v>
      </c>
      <c r="C13" s="3" t="s">
        <v>127</v>
      </c>
      <c r="D13" s="3" t="s">
        <v>128</v>
      </c>
      <c r="E13" s="3" t="s">
        <v>129</v>
      </c>
      <c r="F13" s="3" t="s">
        <v>130</v>
      </c>
      <c r="G13" s="3" t="s">
        <v>28</v>
      </c>
      <c r="H13" s="3">
        <v>695025</v>
      </c>
      <c r="I13" s="3" t="s">
        <v>29</v>
      </c>
      <c r="J13" s="1"/>
      <c r="K13" s="3" t="s">
        <v>131</v>
      </c>
      <c r="L13" s="3">
        <v>9526722270</v>
      </c>
      <c r="M13" s="3">
        <v>9526733370</v>
      </c>
      <c r="N13" s="3" t="s">
        <v>132</v>
      </c>
      <c r="O13" s="1"/>
      <c r="P13" s="1"/>
      <c r="Q13" s="3" t="s">
        <v>133</v>
      </c>
      <c r="R13" s="1"/>
      <c r="S13" s="1"/>
      <c r="T13" s="3" t="s">
        <v>134</v>
      </c>
      <c r="U13" s="3" t="s">
        <v>135</v>
      </c>
    </row>
    <row r="14" spans="1:21" x14ac:dyDescent="0.3">
      <c r="A14" s="3" t="s">
        <v>142</v>
      </c>
      <c r="B14" s="3" t="s">
        <v>23</v>
      </c>
      <c r="C14" s="3" t="s">
        <v>143</v>
      </c>
      <c r="D14" s="3" t="s">
        <v>144</v>
      </c>
      <c r="E14" s="3" t="s">
        <v>145</v>
      </c>
      <c r="F14" s="3" t="s">
        <v>146</v>
      </c>
      <c r="G14" s="3" t="s">
        <v>147</v>
      </c>
      <c r="H14" s="3">
        <v>670101</v>
      </c>
      <c r="I14" s="3" t="s">
        <v>29</v>
      </c>
      <c r="J14" s="3">
        <v>9645964481</v>
      </c>
      <c r="K14" s="3">
        <v>4902321929</v>
      </c>
      <c r="L14" s="3">
        <v>8891101929</v>
      </c>
      <c r="M14" s="1"/>
      <c r="N14" s="3" t="s">
        <v>148</v>
      </c>
      <c r="O14" s="4">
        <v>44860</v>
      </c>
      <c r="P14" s="4">
        <v>46685</v>
      </c>
      <c r="Q14" s="3" t="s">
        <v>149</v>
      </c>
      <c r="R14" s="4">
        <v>44860</v>
      </c>
      <c r="S14" s="4">
        <v>46685</v>
      </c>
      <c r="T14" s="3" t="s">
        <v>150</v>
      </c>
      <c r="U14" s="3" t="s">
        <v>151</v>
      </c>
    </row>
    <row r="15" spans="1:21" x14ac:dyDescent="0.3">
      <c r="A15" s="3" t="s">
        <v>152</v>
      </c>
      <c r="B15" s="3" t="s">
        <v>23</v>
      </c>
      <c r="C15" s="3" t="s">
        <v>153</v>
      </c>
      <c r="D15" s="3" t="s">
        <v>154</v>
      </c>
      <c r="E15" s="3" t="s">
        <v>155</v>
      </c>
      <c r="F15" s="3" t="s">
        <v>156</v>
      </c>
      <c r="G15" s="3" t="s">
        <v>140</v>
      </c>
      <c r="H15" s="3">
        <v>671315</v>
      </c>
      <c r="I15" s="3" t="s">
        <v>29</v>
      </c>
      <c r="J15" s="1"/>
      <c r="K15" s="1"/>
      <c r="L15" s="1"/>
      <c r="M15" s="1"/>
      <c r="N15" s="3" t="s">
        <v>157</v>
      </c>
      <c r="O15" s="1"/>
      <c r="P15" s="4">
        <v>47553</v>
      </c>
      <c r="Q15" s="3" t="s">
        <v>158</v>
      </c>
      <c r="R15" s="1"/>
      <c r="S15" s="4">
        <v>47553</v>
      </c>
      <c r="T15" s="3" t="s">
        <v>159</v>
      </c>
      <c r="U15" s="3" t="s">
        <v>141</v>
      </c>
    </row>
    <row r="16" spans="1:21" x14ac:dyDescent="0.3">
      <c r="A16" s="3" t="s">
        <v>160</v>
      </c>
      <c r="B16" s="3" t="s">
        <v>23</v>
      </c>
      <c r="C16" s="3" t="s">
        <v>161</v>
      </c>
      <c r="D16" s="3" t="s">
        <v>162</v>
      </c>
      <c r="E16" s="3" t="s">
        <v>163</v>
      </c>
      <c r="F16" s="3" t="s">
        <v>164</v>
      </c>
      <c r="G16" s="3" t="s">
        <v>165</v>
      </c>
      <c r="H16" s="3">
        <v>682020</v>
      </c>
      <c r="I16" s="3" t="s">
        <v>29</v>
      </c>
      <c r="J16" s="1"/>
      <c r="K16" s="3">
        <v>4037202</v>
      </c>
      <c r="L16" s="1"/>
      <c r="M16" s="1"/>
      <c r="N16" s="3" t="s">
        <v>166</v>
      </c>
      <c r="O16" s="1"/>
      <c r="P16" s="4">
        <v>46067</v>
      </c>
      <c r="Q16" s="3" t="s">
        <v>167</v>
      </c>
      <c r="R16" s="1"/>
      <c r="S16" s="4">
        <v>46067</v>
      </c>
      <c r="T16" s="3" t="s">
        <v>168</v>
      </c>
      <c r="U16" s="3" t="s">
        <v>169</v>
      </c>
    </row>
    <row r="17" spans="1:21" x14ac:dyDescent="0.3">
      <c r="A17" s="3" t="s">
        <v>170</v>
      </c>
      <c r="B17" s="3" t="s">
        <v>23</v>
      </c>
      <c r="C17" s="3" t="s">
        <v>171</v>
      </c>
      <c r="D17" s="3" t="s">
        <v>172</v>
      </c>
      <c r="E17" s="3" t="s">
        <v>173</v>
      </c>
      <c r="F17" s="3" t="s">
        <v>174</v>
      </c>
      <c r="G17" s="3" t="s">
        <v>175</v>
      </c>
      <c r="H17" s="3">
        <v>673101</v>
      </c>
      <c r="I17" s="3" t="s">
        <v>29</v>
      </c>
      <c r="J17" s="1"/>
      <c r="K17" s="1"/>
      <c r="L17" s="1"/>
      <c r="M17" s="1"/>
      <c r="N17" s="3" t="s">
        <v>176</v>
      </c>
      <c r="O17" s="1"/>
      <c r="P17" s="1"/>
      <c r="Q17" s="3" t="s">
        <v>177</v>
      </c>
      <c r="R17" s="1"/>
      <c r="S17" s="1"/>
      <c r="T17" s="3" t="s">
        <v>178</v>
      </c>
      <c r="U17" s="3" t="s">
        <v>179</v>
      </c>
    </row>
    <row r="18" spans="1:21" x14ac:dyDescent="0.3">
      <c r="A18" s="3" t="s">
        <v>180</v>
      </c>
      <c r="B18" s="3" t="s">
        <v>23</v>
      </c>
      <c r="C18" s="3" t="s">
        <v>181</v>
      </c>
      <c r="D18" s="3" t="s">
        <v>182</v>
      </c>
      <c r="E18" s="3" t="s">
        <v>183</v>
      </c>
      <c r="F18" s="3" t="s">
        <v>184</v>
      </c>
      <c r="G18" s="3" t="s">
        <v>68</v>
      </c>
      <c r="H18" s="3">
        <v>691001</v>
      </c>
      <c r="I18" s="3" t="s">
        <v>29</v>
      </c>
      <c r="J18" s="1"/>
      <c r="K18" s="1"/>
      <c r="L18" s="1"/>
      <c r="M18" s="1"/>
      <c r="N18" s="3" t="s">
        <v>185</v>
      </c>
      <c r="O18" s="4">
        <v>45554</v>
      </c>
      <c r="P18" s="4">
        <v>47379</v>
      </c>
      <c r="Q18" s="3" t="s">
        <v>186</v>
      </c>
      <c r="R18" s="4">
        <v>45554</v>
      </c>
      <c r="S18" s="4">
        <v>47379</v>
      </c>
      <c r="T18" s="3" t="s">
        <v>187</v>
      </c>
      <c r="U18" s="3" t="s">
        <v>188</v>
      </c>
    </row>
    <row r="19" spans="1:21" x14ac:dyDescent="0.3">
      <c r="A19" s="3" t="s">
        <v>189</v>
      </c>
      <c r="B19" s="3" t="s">
        <v>23</v>
      </c>
      <c r="C19" s="3" t="s">
        <v>190</v>
      </c>
      <c r="D19" s="3" t="s">
        <v>191</v>
      </c>
      <c r="E19" s="3" t="s">
        <v>192</v>
      </c>
      <c r="F19" s="3" t="s">
        <v>193</v>
      </c>
      <c r="G19" s="3" t="s">
        <v>194</v>
      </c>
      <c r="H19" s="3">
        <v>683101</v>
      </c>
      <c r="I19" s="3" t="s">
        <v>29</v>
      </c>
      <c r="J19" s="3" t="s">
        <v>195</v>
      </c>
      <c r="K19" s="3">
        <v>9847054474</v>
      </c>
      <c r="L19" s="3">
        <v>9645817323</v>
      </c>
      <c r="M19" s="1"/>
      <c r="N19" s="3" t="s">
        <v>196</v>
      </c>
      <c r="O19" s="4">
        <v>41451</v>
      </c>
      <c r="P19" s="4">
        <v>43276</v>
      </c>
      <c r="Q19" s="3" t="s">
        <v>197</v>
      </c>
      <c r="R19" s="4">
        <v>41451</v>
      </c>
      <c r="S19" s="4">
        <v>43276</v>
      </c>
      <c r="T19" s="3" t="s">
        <v>198</v>
      </c>
      <c r="U19" s="3" t="s">
        <v>199</v>
      </c>
    </row>
    <row r="20" spans="1:21" x14ac:dyDescent="0.3">
      <c r="A20" s="3" t="s">
        <v>200</v>
      </c>
      <c r="B20" s="3" t="s">
        <v>23</v>
      </c>
      <c r="C20" s="3" t="s">
        <v>201</v>
      </c>
      <c r="D20" s="3" t="s">
        <v>202</v>
      </c>
      <c r="E20" s="3" t="s">
        <v>203</v>
      </c>
      <c r="F20" s="3">
        <v>680001</v>
      </c>
      <c r="G20" s="3" t="s">
        <v>204</v>
      </c>
      <c r="H20" s="3">
        <v>680001</v>
      </c>
      <c r="I20" s="3" t="s">
        <v>29</v>
      </c>
      <c r="J20" s="3" t="s">
        <v>205</v>
      </c>
      <c r="K20" s="3" t="s">
        <v>206</v>
      </c>
      <c r="L20" s="3" t="s">
        <v>207</v>
      </c>
      <c r="M20" s="3">
        <v>9895015708</v>
      </c>
      <c r="N20" s="3" t="s">
        <v>208</v>
      </c>
      <c r="O20" s="4">
        <v>45474</v>
      </c>
      <c r="P20" s="4">
        <v>47299</v>
      </c>
      <c r="Q20" s="3" t="s">
        <v>209</v>
      </c>
      <c r="R20" s="4">
        <v>45474</v>
      </c>
      <c r="S20" s="4">
        <v>47299</v>
      </c>
      <c r="T20" s="3" t="s">
        <v>210</v>
      </c>
      <c r="U20" s="3" t="s">
        <v>211</v>
      </c>
    </row>
    <row r="21" spans="1:21" x14ac:dyDescent="0.3">
      <c r="A21" s="3" t="s">
        <v>214</v>
      </c>
      <c r="B21" s="3" t="s">
        <v>23</v>
      </c>
      <c r="C21" s="3" t="s">
        <v>215</v>
      </c>
      <c r="D21" s="3" t="s">
        <v>216</v>
      </c>
      <c r="E21" s="3" t="s">
        <v>217</v>
      </c>
      <c r="F21" s="3" t="s">
        <v>218</v>
      </c>
      <c r="G21" s="3" t="s">
        <v>39</v>
      </c>
      <c r="H21" s="3">
        <v>689645</v>
      </c>
      <c r="I21" s="3" t="s">
        <v>29</v>
      </c>
      <c r="J21" s="1"/>
      <c r="K21" s="1"/>
      <c r="L21" s="1"/>
      <c r="M21" s="1"/>
      <c r="N21" s="3" t="s">
        <v>219</v>
      </c>
      <c r="O21" s="1"/>
      <c r="P21" s="4">
        <v>47260</v>
      </c>
      <c r="Q21" s="3" t="s">
        <v>220</v>
      </c>
      <c r="R21" s="1"/>
      <c r="S21" s="4">
        <v>47260</v>
      </c>
      <c r="T21" s="3" t="s">
        <v>221</v>
      </c>
      <c r="U21" s="3" t="s">
        <v>212</v>
      </c>
    </row>
    <row r="22" spans="1:21" x14ac:dyDescent="0.3">
      <c r="A22" s="3" t="s">
        <v>222</v>
      </c>
      <c r="B22" s="3" t="s">
        <v>23</v>
      </c>
      <c r="C22" s="3" t="s">
        <v>223</v>
      </c>
      <c r="D22" s="3" t="s">
        <v>224</v>
      </c>
      <c r="E22" s="3" t="s">
        <v>225</v>
      </c>
      <c r="F22" s="3" t="s">
        <v>226</v>
      </c>
      <c r="G22" s="3" t="s">
        <v>165</v>
      </c>
      <c r="H22" s="3">
        <v>682025</v>
      </c>
      <c r="I22" s="3" t="s">
        <v>29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3">
      <c r="A23" s="3" t="s">
        <v>227</v>
      </c>
      <c r="B23" s="3" t="s">
        <v>23</v>
      </c>
      <c r="C23" s="3" t="s">
        <v>228</v>
      </c>
      <c r="D23" s="3" t="s">
        <v>229</v>
      </c>
      <c r="E23" s="3" t="s">
        <v>230</v>
      </c>
      <c r="F23" s="3" t="s">
        <v>231</v>
      </c>
      <c r="G23" s="3" t="s">
        <v>232</v>
      </c>
      <c r="H23" s="3">
        <v>690102</v>
      </c>
      <c r="I23" s="3" t="s">
        <v>29</v>
      </c>
      <c r="J23" s="1"/>
      <c r="K23" s="3">
        <v>4792306030</v>
      </c>
      <c r="L23" s="3">
        <v>9446436374</v>
      </c>
      <c r="M23" s="3">
        <v>9895431936</v>
      </c>
      <c r="N23" s="3" t="s">
        <v>233</v>
      </c>
      <c r="O23" s="4">
        <v>42613</v>
      </c>
      <c r="P23" s="4">
        <v>44438</v>
      </c>
      <c r="Q23" s="3" t="s">
        <v>234</v>
      </c>
      <c r="R23" s="4">
        <v>42613</v>
      </c>
      <c r="S23" s="4">
        <v>44438</v>
      </c>
      <c r="T23" s="3" t="s">
        <v>235</v>
      </c>
      <c r="U23" s="3" t="s">
        <v>236</v>
      </c>
    </row>
    <row r="24" spans="1:21" x14ac:dyDescent="0.3">
      <c r="A24" s="3" t="s">
        <v>237</v>
      </c>
      <c r="B24" s="3" t="s">
        <v>23</v>
      </c>
      <c r="C24" s="3" t="s">
        <v>238</v>
      </c>
      <c r="D24" s="3" t="s">
        <v>239</v>
      </c>
      <c r="E24" s="3" t="s">
        <v>240</v>
      </c>
      <c r="F24" s="3" t="s">
        <v>241</v>
      </c>
      <c r="G24" s="3" t="s">
        <v>124</v>
      </c>
      <c r="H24" s="3">
        <v>686001</v>
      </c>
      <c r="I24" s="3" t="s">
        <v>29</v>
      </c>
      <c r="J24" s="1"/>
      <c r="K24" s="1"/>
      <c r="L24" s="1"/>
      <c r="M24" s="1"/>
      <c r="N24" s="3" t="s">
        <v>242</v>
      </c>
      <c r="O24" s="1"/>
      <c r="P24" s="1"/>
      <c r="Q24" s="3" t="s">
        <v>243</v>
      </c>
      <c r="R24" s="1"/>
      <c r="S24" s="1"/>
      <c r="T24" s="3" t="s">
        <v>244</v>
      </c>
      <c r="U24" s="3" t="s">
        <v>245</v>
      </c>
    </row>
    <row r="25" spans="1:21" x14ac:dyDescent="0.3">
      <c r="A25" s="3" t="s">
        <v>246</v>
      </c>
      <c r="B25" s="3" t="s">
        <v>23</v>
      </c>
      <c r="C25" s="3" t="s">
        <v>247</v>
      </c>
      <c r="D25" s="3" t="s">
        <v>248</v>
      </c>
      <c r="E25" s="3" t="s">
        <v>249</v>
      </c>
      <c r="F25" s="3" t="s">
        <v>250</v>
      </c>
      <c r="G25" s="3" t="s">
        <v>68</v>
      </c>
      <c r="H25" s="3">
        <v>691001</v>
      </c>
      <c r="I25" s="3" t="s">
        <v>29</v>
      </c>
      <c r="J25" s="1"/>
      <c r="K25" s="3">
        <v>4742750139</v>
      </c>
      <c r="L25" s="1"/>
      <c r="M25" s="1"/>
      <c r="N25" s="3" t="s">
        <v>251</v>
      </c>
      <c r="O25" s="4">
        <v>45536</v>
      </c>
      <c r="P25" s="4">
        <v>47361</v>
      </c>
      <c r="Q25" s="3" t="s">
        <v>252</v>
      </c>
      <c r="R25" s="4">
        <v>45536</v>
      </c>
      <c r="S25" s="4">
        <v>47361</v>
      </c>
      <c r="T25" s="3" t="s">
        <v>253</v>
      </c>
      <c r="U25" s="3" t="s">
        <v>254</v>
      </c>
    </row>
    <row r="26" spans="1:21" x14ac:dyDescent="0.3">
      <c r="A26" s="3" t="s">
        <v>255</v>
      </c>
      <c r="B26" s="3" t="s">
        <v>23</v>
      </c>
      <c r="C26" s="3" t="s">
        <v>256</v>
      </c>
      <c r="D26" s="3" t="s">
        <v>257</v>
      </c>
      <c r="E26" s="3" t="s">
        <v>258</v>
      </c>
      <c r="F26" s="3" t="s">
        <v>259</v>
      </c>
      <c r="G26" s="3" t="s">
        <v>78</v>
      </c>
      <c r="H26" s="3">
        <v>676121</v>
      </c>
      <c r="I26" s="3" t="s">
        <v>29</v>
      </c>
      <c r="J26" s="1"/>
      <c r="K26" s="1"/>
      <c r="L26" s="1"/>
      <c r="M26" s="1"/>
      <c r="N26" s="3" t="s">
        <v>260</v>
      </c>
      <c r="O26" s="1"/>
      <c r="P26" s="4">
        <v>47573</v>
      </c>
      <c r="Q26" s="3" t="s">
        <v>261</v>
      </c>
      <c r="R26" s="1"/>
      <c r="S26" s="4">
        <v>47573</v>
      </c>
      <c r="T26" s="3" t="s">
        <v>262</v>
      </c>
      <c r="U26" s="3" t="s">
        <v>263</v>
      </c>
    </row>
    <row r="27" spans="1:21" x14ac:dyDescent="0.3">
      <c r="A27" s="3" t="s">
        <v>264</v>
      </c>
      <c r="B27" s="3" t="s">
        <v>23</v>
      </c>
      <c r="C27" s="3" t="s">
        <v>265</v>
      </c>
      <c r="D27" s="3" t="s">
        <v>266</v>
      </c>
      <c r="E27" s="3" t="s">
        <v>267</v>
      </c>
      <c r="F27" s="3" t="s">
        <v>268</v>
      </c>
      <c r="G27" s="3" t="s">
        <v>125</v>
      </c>
      <c r="H27" s="3">
        <v>673004</v>
      </c>
      <c r="I27" s="3" t="s">
        <v>29</v>
      </c>
      <c r="J27" s="1"/>
      <c r="K27" s="1"/>
      <c r="L27" s="1"/>
      <c r="M27" s="1"/>
      <c r="N27" s="3" t="s">
        <v>269</v>
      </c>
      <c r="O27" s="4">
        <v>46030</v>
      </c>
      <c r="P27" s="4">
        <v>47855</v>
      </c>
      <c r="Q27" s="3" t="s">
        <v>270</v>
      </c>
      <c r="R27" s="4">
        <v>46030</v>
      </c>
      <c r="S27" s="4">
        <v>47855</v>
      </c>
      <c r="T27" s="3" t="s">
        <v>271</v>
      </c>
      <c r="U27" s="3" t="s">
        <v>272</v>
      </c>
    </row>
    <row r="28" spans="1:21" x14ac:dyDescent="0.3">
      <c r="A28" s="3" t="s">
        <v>273</v>
      </c>
      <c r="B28" s="3" t="s">
        <v>23</v>
      </c>
      <c r="C28" s="3" t="s">
        <v>274</v>
      </c>
      <c r="D28" s="3" t="s">
        <v>275</v>
      </c>
      <c r="E28" s="3" t="s">
        <v>276</v>
      </c>
      <c r="F28" s="3" t="s">
        <v>277</v>
      </c>
      <c r="G28" s="3" t="s">
        <v>165</v>
      </c>
      <c r="H28" s="3">
        <v>682024</v>
      </c>
      <c r="I28" s="3" t="s">
        <v>29</v>
      </c>
      <c r="J28" s="1"/>
      <c r="K28" s="3">
        <v>4842532174</v>
      </c>
      <c r="L28" s="3">
        <v>2532175</v>
      </c>
      <c r="M28" s="3">
        <v>9846822999</v>
      </c>
      <c r="N28" s="3" t="s">
        <v>278</v>
      </c>
      <c r="O28" s="1"/>
      <c r="P28" s="1"/>
      <c r="Q28" s="3" t="s">
        <v>279</v>
      </c>
      <c r="R28" s="1"/>
      <c r="S28" s="1"/>
      <c r="T28" s="3" t="s">
        <v>280</v>
      </c>
      <c r="U28" s="3" t="s">
        <v>281</v>
      </c>
    </row>
    <row r="29" spans="1:21" x14ac:dyDescent="0.3">
      <c r="A29" s="3" t="s">
        <v>282</v>
      </c>
      <c r="B29" s="3" t="s">
        <v>23</v>
      </c>
      <c r="C29" s="3" t="s">
        <v>283</v>
      </c>
      <c r="D29" s="3" t="s">
        <v>284</v>
      </c>
      <c r="E29" s="3" t="s">
        <v>285</v>
      </c>
      <c r="F29" s="3" t="s">
        <v>286</v>
      </c>
      <c r="G29" s="3" t="s">
        <v>124</v>
      </c>
      <c r="H29" s="3">
        <v>686001</v>
      </c>
      <c r="I29" s="3" t="s">
        <v>29</v>
      </c>
      <c r="J29" s="1"/>
      <c r="K29" s="1"/>
      <c r="L29" s="1"/>
      <c r="M29" s="1"/>
      <c r="N29" s="3" t="s">
        <v>287</v>
      </c>
      <c r="O29" s="1"/>
      <c r="P29" s="1"/>
      <c r="Q29" s="3" t="s">
        <v>288</v>
      </c>
      <c r="R29" s="1"/>
      <c r="S29" s="1"/>
      <c r="T29" s="3" t="s">
        <v>289</v>
      </c>
      <c r="U29" s="3" t="s">
        <v>290</v>
      </c>
    </row>
    <row r="30" spans="1:21" x14ac:dyDescent="0.3">
      <c r="A30" s="3" t="s">
        <v>291</v>
      </c>
      <c r="B30" s="3" t="s">
        <v>23</v>
      </c>
      <c r="C30" s="3" t="s">
        <v>292</v>
      </c>
      <c r="D30" s="3" t="s">
        <v>293</v>
      </c>
      <c r="E30" s="3" t="s">
        <v>294</v>
      </c>
      <c r="F30" s="3" t="s">
        <v>295</v>
      </c>
      <c r="G30" s="3" t="s">
        <v>296</v>
      </c>
      <c r="H30" s="3">
        <v>680503</v>
      </c>
      <c r="I30" s="3" t="s">
        <v>29</v>
      </c>
      <c r="J30" s="1"/>
      <c r="K30" s="3">
        <v>4885222171</v>
      </c>
      <c r="L30" s="3">
        <v>4885227097</v>
      </c>
      <c r="M30" s="3">
        <v>8547600100</v>
      </c>
      <c r="N30" s="3" t="s">
        <v>297</v>
      </c>
      <c r="O30" s="1"/>
      <c r="P30" s="1"/>
      <c r="Q30" s="3" t="s">
        <v>298</v>
      </c>
      <c r="R30" s="1"/>
      <c r="S30" s="1"/>
      <c r="T30" s="3" t="s">
        <v>299</v>
      </c>
      <c r="U30" s="3" t="s">
        <v>300</v>
      </c>
    </row>
    <row r="31" spans="1:21" x14ac:dyDescent="0.3">
      <c r="A31" s="3" t="s">
        <v>301</v>
      </c>
      <c r="B31" s="3" t="s">
        <v>23</v>
      </c>
      <c r="C31" s="3" t="s">
        <v>302</v>
      </c>
      <c r="D31" s="3" t="s">
        <v>303</v>
      </c>
      <c r="E31" s="3" t="s">
        <v>304</v>
      </c>
      <c r="F31" s="1"/>
      <c r="G31" s="3" t="s">
        <v>213</v>
      </c>
      <c r="H31" s="3">
        <v>673002</v>
      </c>
      <c r="I31" s="3" t="s">
        <v>29</v>
      </c>
      <c r="J31" s="1"/>
      <c r="K31" s="3">
        <v>4952703440</v>
      </c>
      <c r="L31" s="3">
        <v>4952703448</v>
      </c>
      <c r="M31" s="3">
        <v>9349024646</v>
      </c>
      <c r="N31" s="3" t="s">
        <v>305</v>
      </c>
      <c r="O31" s="4">
        <v>44927</v>
      </c>
      <c r="P31" s="4">
        <v>46752</v>
      </c>
      <c r="Q31" s="3" t="s">
        <v>306</v>
      </c>
      <c r="R31" s="4">
        <v>44927</v>
      </c>
      <c r="S31" s="4">
        <v>46752</v>
      </c>
      <c r="T31" s="3" t="s">
        <v>307</v>
      </c>
      <c r="U31" s="3" t="s">
        <v>308</v>
      </c>
    </row>
    <row r="32" spans="1:21" x14ac:dyDescent="0.3">
      <c r="A32" s="3" t="s">
        <v>312</v>
      </c>
      <c r="B32" s="3" t="s">
        <v>23</v>
      </c>
      <c r="C32" s="3" t="s">
        <v>313</v>
      </c>
      <c r="D32" s="3" t="s">
        <v>314</v>
      </c>
      <c r="E32" s="3" t="s">
        <v>315</v>
      </c>
      <c r="F32" s="3" t="s">
        <v>316</v>
      </c>
      <c r="G32" s="3" t="s">
        <v>106</v>
      </c>
      <c r="H32" s="3">
        <v>671315</v>
      </c>
      <c r="I32" s="3" t="s">
        <v>29</v>
      </c>
      <c r="J32" s="1"/>
      <c r="K32" s="1"/>
      <c r="L32" s="1"/>
      <c r="M32" s="1"/>
      <c r="N32" s="3" t="s">
        <v>317</v>
      </c>
      <c r="O32" s="4">
        <v>45405</v>
      </c>
      <c r="P32" s="4">
        <v>47230</v>
      </c>
      <c r="Q32" s="3" t="s">
        <v>318</v>
      </c>
      <c r="R32" s="4">
        <v>45405</v>
      </c>
      <c r="S32" s="4">
        <v>47230</v>
      </c>
      <c r="T32" s="3" t="s">
        <v>319</v>
      </c>
      <c r="U32" s="3" t="s">
        <v>320</v>
      </c>
    </row>
    <row r="33" spans="1:21" x14ac:dyDescent="0.3">
      <c r="A33" s="3" t="s">
        <v>321</v>
      </c>
      <c r="B33" s="3" t="s">
        <v>23</v>
      </c>
      <c r="C33" s="3" t="s">
        <v>322</v>
      </c>
      <c r="D33" s="3" t="s">
        <v>323</v>
      </c>
      <c r="E33" s="3" t="s">
        <v>324</v>
      </c>
      <c r="F33" s="3" t="s">
        <v>165</v>
      </c>
      <c r="G33" s="3" t="s">
        <v>165</v>
      </c>
      <c r="H33" s="3">
        <v>682030</v>
      </c>
      <c r="I33" s="3" t="s">
        <v>29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3">
      <c r="A34" s="3" t="s">
        <v>326</v>
      </c>
      <c r="B34" s="3" t="s">
        <v>23</v>
      </c>
      <c r="C34" s="3" t="s">
        <v>325</v>
      </c>
      <c r="D34" s="3" t="s">
        <v>327</v>
      </c>
      <c r="E34" s="3" t="s">
        <v>328</v>
      </c>
      <c r="F34" s="3" t="s">
        <v>329</v>
      </c>
      <c r="G34" s="3" t="s">
        <v>86</v>
      </c>
      <c r="H34" s="3">
        <v>678001</v>
      </c>
      <c r="I34" s="3" t="s">
        <v>29</v>
      </c>
      <c r="J34" s="3" t="s">
        <v>330</v>
      </c>
      <c r="K34" s="3">
        <v>532133</v>
      </c>
      <c r="L34" s="3">
        <v>9446290741</v>
      </c>
      <c r="M34" s="1"/>
      <c r="N34" s="3" t="s">
        <v>331</v>
      </c>
      <c r="O34" s="4">
        <v>42543</v>
      </c>
      <c r="P34" s="4">
        <v>44368</v>
      </c>
      <c r="Q34" s="3" t="s">
        <v>332</v>
      </c>
      <c r="R34" s="4">
        <v>42543</v>
      </c>
      <c r="S34" s="4">
        <v>44368</v>
      </c>
      <c r="T34" s="3" t="s">
        <v>333</v>
      </c>
      <c r="U34" s="3" t="s">
        <v>334</v>
      </c>
    </row>
    <row r="35" spans="1:21" x14ac:dyDescent="0.3">
      <c r="A35" s="3" t="s">
        <v>336</v>
      </c>
      <c r="B35" s="3" t="s">
        <v>23</v>
      </c>
      <c r="C35" s="3" t="s">
        <v>337</v>
      </c>
      <c r="D35" s="3" t="s">
        <v>338</v>
      </c>
      <c r="E35" s="3" t="s">
        <v>339</v>
      </c>
      <c r="F35" s="3" t="s">
        <v>340</v>
      </c>
      <c r="G35" s="3" t="s">
        <v>175</v>
      </c>
      <c r="H35" s="3">
        <v>673101</v>
      </c>
      <c r="I35" s="3" t="s">
        <v>29</v>
      </c>
      <c r="J35" s="1"/>
      <c r="K35" s="3">
        <v>9447982233</v>
      </c>
      <c r="L35" s="1"/>
      <c r="M35" s="1"/>
      <c r="N35" s="3" t="s">
        <v>341</v>
      </c>
      <c r="O35" s="1"/>
      <c r="P35" s="4">
        <v>47573</v>
      </c>
      <c r="Q35" s="3" t="s">
        <v>342</v>
      </c>
      <c r="R35" s="1"/>
      <c r="S35" s="4">
        <v>47573</v>
      </c>
      <c r="T35" s="3" t="s">
        <v>343</v>
      </c>
      <c r="U35" s="3" t="s">
        <v>344</v>
      </c>
    </row>
    <row r="36" spans="1:21" x14ac:dyDescent="0.3">
      <c r="A36" s="3" t="s">
        <v>345</v>
      </c>
      <c r="B36" s="3" t="s">
        <v>23</v>
      </c>
      <c r="C36" s="3" t="s">
        <v>346</v>
      </c>
      <c r="D36" s="3" t="s">
        <v>347</v>
      </c>
      <c r="E36" s="3" t="s">
        <v>348</v>
      </c>
      <c r="F36" s="1"/>
      <c r="G36" s="3" t="s">
        <v>310</v>
      </c>
      <c r="H36" s="3">
        <v>670001</v>
      </c>
      <c r="I36" s="3" t="s">
        <v>29</v>
      </c>
      <c r="J36" s="1"/>
      <c r="K36" s="1"/>
      <c r="L36" s="1"/>
      <c r="M36" s="1"/>
      <c r="N36" s="3" t="s">
        <v>349</v>
      </c>
      <c r="O36" s="1"/>
      <c r="P36" s="4">
        <v>47529</v>
      </c>
      <c r="Q36" s="3" t="s">
        <v>350</v>
      </c>
      <c r="R36" s="1"/>
      <c r="S36" s="4">
        <v>47529</v>
      </c>
      <c r="T36" s="3" t="s">
        <v>351</v>
      </c>
      <c r="U36" s="3" t="s">
        <v>311</v>
      </c>
    </row>
    <row r="37" spans="1:21" x14ac:dyDescent="0.3">
      <c r="A37" s="3" t="s">
        <v>352</v>
      </c>
      <c r="B37" s="3" t="s">
        <v>23</v>
      </c>
      <c r="C37" s="3" t="s">
        <v>353</v>
      </c>
      <c r="D37" s="3" t="s">
        <v>354</v>
      </c>
      <c r="E37" s="3" t="s">
        <v>355</v>
      </c>
      <c r="F37" s="3" t="s">
        <v>356</v>
      </c>
      <c r="G37" s="3" t="s">
        <v>136</v>
      </c>
      <c r="H37" s="3">
        <v>680014</v>
      </c>
      <c r="I37" s="3" t="s">
        <v>29</v>
      </c>
      <c r="J37" s="1"/>
      <c r="K37" s="1"/>
      <c r="L37" s="1"/>
      <c r="M37" s="1"/>
      <c r="N37" s="3" t="s">
        <v>357</v>
      </c>
      <c r="O37" s="1"/>
      <c r="P37" s="4">
        <v>46742</v>
      </c>
      <c r="Q37" s="3" t="s">
        <v>358</v>
      </c>
      <c r="R37" s="1"/>
      <c r="S37" s="4">
        <v>46742</v>
      </c>
      <c r="T37" s="3" t="s">
        <v>359</v>
      </c>
      <c r="U37" s="3" t="s">
        <v>360</v>
      </c>
    </row>
    <row r="38" spans="1:21" x14ac:dyDescent="0.3">
      <c r="A38" s="3" t="s">
        <v>361</v>
      </c>
      <c r="B38" s="3" t="s">
        <v>23</v>
      </c>
      <c r="C38" s="3" t="s">
        <v>362</v>
      </c>
      <c r="D38" s="3" t="s">
        <v>363</v>
      </c>
      <c r="E38" s="3" t="s">
        <v>364</v>
      </c>
      <c r="F38" s="3" t="s">
        <v>365</v>
      </c>
      <c r="G38" s="3" t="s">
        <v>165</v>
      </c>
      <c r="H38" s="3">
        <v>683573</v>
      </c>
      <c r="I38" s="3" t="s">
        <v>29</v>
      </c>
      <c r="J38" s="3" t="s">
        <v>366</v>
      </c>
      <c r="K38" s="3">
        <v>9400390054</v>
      </c>
      <c r="L38" s="3">
        <v>9496893839</v>
      </c>
      <c r="M38" s="1"/>
      <c r="N38" s="3" t="s">
        <v>367</v>
      </c>
      <c r="O38" s="4">
        <v>45199</v>
      </c>
      <c r="P38" s="4">
        <v>47025</v>
      </c>
      <c r="Q38" s="3" t="s">
        <v>368</v>
      </c>
      <c r="R38" s="4">
        <v>45199</v>
      </c>
      <c r="S38" s="4">
        <v>47025</v>
      </c>
      <c r="T38" s="3" t="s">
        <v>369</v>
      </c>
      <c r="U38" s="3" t="s">
        <v>370</v>
      </c>
    </row>
    <row r="39" spans="1:21" x14ac:dyDescent="0.3">
      <c r="A39" s="3" t="s">
        <v>371</v>
      </c>
      <c r="B39" s="3" t="s">
        <v>23</v>
      </c>
      <c r="C39" s="3" t="s">
        <v>372</v>
      </c>
      <c r="D39" s="3" t="s">
        <v>373</v>
      </c>
      <c r="E39" s="3" t="s">
        <v>374</v>
      </c>
      <c r="F39" s="3" t="s">
        <v>375</v>
      </c>
      <c r="G39" s="3" t="s">
        <v>376</v>
      </c>
      <c r="H39" s="3">
        <v>688011</v>
      </c>
      <c r="I39" s="3" t="s">
        <v>29</v>
      </c>
      <c r="J39" s="1"/>
      <c r="K39" s="3">
        <v>9895981607</v>
      </c>
      <c r="L39" s="1"/>
      <c r="M39" s="1"/>
      <c r="N39" s="3" t="s">
        <v>377</v>
      </c>
      <c r="O39" s="1"/>
      <c r="P39" s="4">
        <v>45747</v>
      </c>
      <c r="Q39" s="3" t="s">
        <v>378</v>
      </c>
      <c r="R39" s="1"/>
      <c r="S39" s="4">
        <v>45747</v>
      </c>
      <c r="T39" s="3" t="s">
        <v>379</v>
      </c>
      <c r="U39" s="3" t="s">
        <v>380</v>
      </c>
    </row>
    <row r="40" spans="1:21" x14ac:dyDescent="0.3">
      <c r="A40" s="3" t="s">
        <v>381</v>
      </c>
      <c r="B40" s="3" t="s">
        <v>23</v>
      </c>
      <c r="C40" s="3" t="s">
        <v>382</v>
      </c>
      <c r="D40" s="3" t="s">
        <v>383</v>
      </c>
      <c r="E40" s="3" t="s">
        <v>384</v>
      </c>
      <c r="F40" s="1"/>
      <c r="G40" s="3" t="s">
        <v>165</v>
      </c>
      <c r="H40" s="3">
        <v>682020</v>
      </c>
      <c r="I40" s="3" t="s">
        <v>29</v>
      </c>
      <c r="J40" s="1"/>
      <c r="K40" s="1"/>
      <c r="L40" s="1"/>
      <c r="M40" s="1"/>
      <c r="N40" s="3" t="s">
        <v>385</v>
      </c>
      <c r="O40" s="1"/>
      <c r="P40" s="1"/>
      <c r="Q40" s="3" t="s">
        <v>386</v>
      </c>
      <c r="R40" s="1"/>
      <c r="S40" s="1"/>
      <c r="T40" s="1"/>
      <c r="U40" s="1"/>
    </row>
    <row r="41" spans="1:21" x14ac:dyDescent="0.3">
      <c r="A41" s="3" t="s">
        <v>388</v>
      </c>
      <c r="B41" s="3" t="s">
        <v>23</v>
      </c>
      <c r="C41" s="3" t="s">
        <v>389</v>
      </c>
      <c r="D41" s="3" t="s">
        <v>390</v>
      </c>
      <c r="E41" s="3" t="s">
        <v>391</v>
      </c>
      <c r="F41" s="1"/>
      <c r="G41" s="3" t="s">
        <v>392</v>
      </c>
      <c r="H41" s="3">
        <v>676121</v>
      </c>
      <c r="I41" s="3" t="s">
        <v>29</v>
      </c>
      <c r="J41" s="1"/>
      <c r="K41" s="3">
        <v>4832111000</v>
      </c>
      <c r="L41" s="1"/>
      <c r="M41" s="3">
        <v>9847019621</v>
      </c>
      <c r="N41" s="3" t="s">
        <v>393</v>
      </c>
      <c r="O41" s="4">
        <v>45717</v>
      </c>
      <c r="P41" s="4">
        <v>47542</v>
      </c>
      <c r="Q41" s="3" t="s">
        <v>394</v>
      </c>
      <c r="R41" s="4">
        <v>45717</v>
      </c>
      <c r="S41" s="4">
        <v>47542</v>
      </c>
      <c r="T41" s="3" t="s">
        <v>395</v>
      </c>
      <c r="U41" s="3" t="s">
        <v>396</v>
      </c>
    </row>
    <row r="42" spans="1:21" x14ac:dyDescent="0.3">
      <c r="A42" s="3" t="s">
        <v>397</v>
      </c>
      <c r="B42" s="3" t="s">
        <v>23</v>
      </c>
      <c r="C42" s="3" t="s">
        <v>398</v>
      </c>
      <c r="D42" s="3" t="s">
        <v>399</v>
      </c>
      <c r="E42" s="3" t="s">
        <v>400</v>
      </c>
      <c r="F42" s="3" t="s">
        <v>401</v>
      </c>
      <c r="G42" s="3" t="s">
        <v>232</v>
      </c>
      <c r="H42" s="3">
        <v>690101</v>
      </c>
      <c r="I42" s="3" t="s">
        <v>29</v>
      </c>
      <c r="J42" s="1"/>
      <c r="K42" s="1"/>
      <c r="L42" s="1"/>
      <c r="M42" s="1"/>
      <c r="N42" s="3" t="s">
        <v>402</v>
      </c>
      <c r="O42" s="4">
        <v>45103</v>
      </c>
      <c r="P42" s="4">
        <v>46929</v>
      </c>
      <c r="Q42" s="3" t="s">
        <v>403</v>
      </c>
      <c r="R42" s="4">
        <v>45103</v>
      </c>
      <c r="S42" s="4">
        <v>46929</v>
      </c>
      <c r="T42" s="3" t="s">
        <v>404</v>
      </c>
      <c r="U42" s="3" t="s">
        <v>405</v>
      </c>
    </row>
    <row r="43" spans="1:21" x14ac:dyDescent="0.3">
      <c r="A43" s="3" t="s">
        <v>406</v>
      </c>
      <c r="B43" s="3" t="s">
        <v>23</v>
      </c>
      <c r="C43" s="3" t="s">
        <v>407</v>
      </c>
      <c r="D43" s="3" t="s">
        <v>408</v>
      </c>
      <c r="E43" s="3" t="s">
        <v>409</v>
      </c>
      <c r="F43" s="3" t="s">
        <v>410</v>
      </c>
      <c r="G43" s="3" t="s">
        <v>411</v>
      </c>
      <c r="H43" s="3">
        <v>689101</v>
      </c>
      <c r="I43" s="3" t="s">
        <v>29</v>
      </c>
      <c r="J43" s="3" t="s">
        <v>412</v>
      </c>
      <c r="K43" s="3">
        <v>4692636874</v>
      </c>
      <c r="L43" s="3">
        <v>2630825</v>
      </c>
      <c r="M43" s="3">
        <v>9447033085</v>
      </c>
      <c r="N43" s="3" t="s">
        <v>413</v>
      </c>
      <c r="O43" s="4">
        <v>45562</v>
      </c>
      <c r="P43" s="4">
        <v>47299</v>
      </c>
      <c r="Q43" s="3" t="s">
        <v>414</v>
      </c>
      <c r="R43" s="4">
        <v>45562</v>
      </c>
      <c r="S43" s="4">
        <v>47299</v>
      </c>
      <c r="T43" s="3" t="s">
        <v>415</v>
      </c>
      <c r="U43" s="3" t="s">
        <v>416</v>
      </c>
    </row>
    <row r="44" spans="1:21" x14ac:dyDescent="0.3">
      <c r="A44" s="3" t="s">
        <v>417</v>
      </c>
      <c r="B44" s="3" t="s">
        <v>23</v>
      </c>
      <c r="C44" s="3" t="s">
        <v>418</v>
      </c>
      <c r="D44" s="3" t="s">
        <v>419</v>
      </c>
      <c r="E44" s="3" t="s">
        <v>420</v>
      </c>
      <c r="F44" s="3" t="s">
        <v>421</v>
      </c>
      <c r="G44" s="3" t="s">
        <v>165</v>
      </c>
      <c r="H44" s="3">
        <v>682018</v>
      </c>
      <c r="I44" s="3" t="s">
        <v>29</v>
      </c>
      <c r="J44" s="3" t="s">
        <v>422</v>
      </c>
      <c r="K44" s="3" t="s">
        <v>423</v>
      </c>
      <c r="L44" s="3" t="s">
        <v>424</v>
      </c>
      <c r="M44" s="1"/>
      <c r="N44" s="3" t="s">
        <v>425</v>
      </c>
      <c r="O44" s="4">
        <v>45616</v>
      </c>
      <c r="P44" s="4">
        <v>47441</v>
      </c>
      <c r="Q44" s="3" t="s">
        <v>426</v>
      </c>
      <c r="R44" s="4">
        <v>45616</v>
      </c>
      <c r="S44" s="4">
        <v>47441</v>
      </c>
      <c r="T44" s="3" t="s">
        <v>427</v>
      </c>
      <c r="U44" s="3" t="s">
        <v>428</v>
      </c>
    </row>
    <row r="45" spans="1:21" x14ac:dyDescent="0.3">
      <c r="A45" s="3" t="s">
        <v>429</v>
      </c>
      <c r="B45" s="3" t="s">
        <v>23</v>
      </c>
      <c r="C45" s="3" t="s">
        <v>430</v>
      </c>
      <c r="D45" s="3" t="s">
        <v>431</v>
      </c>
      <c r="E45" s="3" t="s">
        <v>432</v>
      </c>
      <c r="F45" s="3" t="s">
        <v>433</v>
      </c>
      <c r="G45" s="3" t="s">
        <v>165</v>
      </c>
      <c r="H45" s="3">
        <v>682019</v>
      </c>
      <c r="I45" s="3" t="s">
        <v>29</v>
      </c>
      <c r="J45" s="1"/>
      <c r="K45" s="3">
        <v>8138998545</v>
      </c>
      <c r="L45" s="3">
        <v>9633934528</v>
      </c>
      <c r="M45" s="3">
        <v>7561899536</v>
      </c>
      <c r="N45" s="3" t="s">
        <v>434</v>
      </c>
      <c r="O45" s="4">
        <v>45594</v>
      </c>
      <c r="P45" s="4">
        <v>47419</v>
      </c>
      <c r="Q45" s="3" t="s">
        <v>435</v>
      </c>
      <c r="R45" s="4">
        <v>45594</v>
      </c>
      <c r="S45" s="4">
        <v>47419</v>
      </c>
      <c r="T45" s="3" t="s">
        <v>436</v>
      </c>
      <c r="U45" s="3" t="s">
        <v>437</v>
      </c>
    </row>
    <row r="46" spans="1:21" x14ac:dyDescent="0.3">
      <c r="A46" s="3" t="s">
        <v>438</v>
      </c>
      <c r="B46" s="3" t="s">
        <v>23</v>
      </c>
      <c r="C46" s="3" t="s">
        <v>439</v>
      </c>
      <c r="D46" s="3" t="s">
        <v>440</v>
      </c>
      <c r="E46" s="3" t="s">
        <v>441</v>
      </c>
      <c r="F46" s="1"/>
      <c r="G46" s="3" t="s">
        <v>442</v>
      </c>
      <c r="H46" s="3">
        <v>678001</v>
      </c>
      <c r="I46" s="3" t="s">
        <v>29</v>
      </c>
      <c r="J46" s="1"/>
      <c r="K46" s="3">
        <v>7591954444</v>
      </c>
      <c r="L46" s="3">
        <v>7592983515</v>
      </c>
      <c r="M46" s="1"/>
      <c r="N46" s="3" t="s">
        <v>443</v>
      </c>
      <c r="O46" s="1"/>
      <c r="P46" s="1"/>
      <c r="Q46" s="3" t="s">
        <v>444</v>
      </c>
      <c r="R46" s="1"/>
      <c r="S46" s="1"/>
      <c r="T46" s="3" t="s">
        <v>445</v>
      </c>
      <c r="U46" s="3" t="s">
        <v>446</v>
      </c>
    </row>
    <row r="47" spans="1:21" x14ac:dyDescent="0.3">
      <c r="A47" s="3" t="s">
        <v>447</v>
      </c>
      <c r="B47" s="3" t="s">
        <v>23</v>
      </c>
      <c r="C47" s="3" t="s">
        <v>448</v>
      </c>
      <c r="D47" s="3" t="s">
        <v>449</v>
      </c>
      <c r="E47" s="3" t="s">
        <v>450</v>
      </c>
      <c r="F47" s="1"/>
      <c r="G47" s="3" t="s">
        <v>28</v>
      </c>
      <c r="H47" s="3">
        <v>695014</v>
      </c>
      <c r="I47" s="3" t="s">
        <v>29</v>
      </c>
      <c r="J47" s="1"/>
      <c r="K47" s="1"/>
      <c r="L47" s="1"/>
      <c r="M47" s="1"/>
      <c r="N47" s="3" t="s">
        <v>451</v>
      </c>
      <c r="O47" s="1"/>
      <c r="P47" s="4">
        <v>47147</v>
      </c>
      <c r="Q47" s="3" t="s">
        <v>452</v>
      </c>
      <c r="R47" s="1"/>
      <c r="S47" s="4">
        <v>47147</v>
      </c>
      <c r="T47" s="3" t="s">
        <v>453</v>
      </c>
      <c r="U47" s="3" t="s">
        <v>454</v>
      </c>
    </row>
    <row r="48" spans="1:21" x14ac:dyDescent="0.3">
      <c r="A48" s="3" t="s">
        <v>455</v>
      </c>
      <c r="B48" s="3" t="s">
        <v>23</v>
      </c>
      <c r="C48" s="3" t="s">
        <v>456</v>
      </c>
      <c r="D48" s="3" t="s">
        <v>457</v>
      </c>
      <c r="E48" s="3" t="s">
        <v>458</v>
      </c>
      <c r="F48" s="3" t="s">
        <v>459</v>
      </c>
      <c r="G48" s="3" t="s">
        <v>28</v>
      </c>
      <c r="H48" s="3">
        <v>695001</v>
      </c>
      <c r="I48" s="3" t="s">
        <v>29</v>
      </c>
      <c r="J48" s="1"/>
      <c r="K48" s="1"/>
      <c r="L48" s="1"/>
      <c r="M48" s="1"/>
      <c r="N48" s="3" t="s">
        <v>460</v>
      </c>
      <c r="O48" s="1"/>
      <c r="P48" s="1"/>
      <c r="Q48" s="3" t="s">
        <v>461</v>
      </c>
      <c r="R48" s="1"/>
      <c r="S48" s="1"/>
      <c r="T48" s="3" t="s">
        <v>462</v>
      </c>
      <c r="U48" s="3" t="s">
        <v>463</v>
      </c>
    </row>
    <row r="49" spans="1:21" x14ac:dyDescent="0.3">
      <c r="A49" s="3" t="s">
        <v>464</v>
      </c>
      <c r="B49" s="3" t="s">
        <v>23</v>
      </c>
      <c r="C49" s="3" t="s">
        <v>465</v>
      </c>
      <c r="D49" s="3" t="s">
        <v>466</v>
      </c>
      <c r="E49" s="3" t="s">
        <v>467</v>
      </c>
      <c r="F49" s="1"/>
      <c r="G49" s="3" t="s">
        <v>136</v>
      </c>
      <c r="H49" s="3">
        <v>680001</v>
      </c>
      <c r="I49" s="3" t="s">
        <v>29</v>
      </c>
      <c r="J49" s="1"/>
      <c r="K49" s="1"/>
      <c r="L49" s="1"/>
      <c r="M49" s="1"/>
      <c r="N49" s="3" t="s">
        <v>468</v>
      </c>
      <c r="O49" s="4">
        <v>44944</v>
      </c>
      <c r="P49" s="4">
        <v>46769</v>
      </c>
      <c r="Q49" s="3" t="s">
        <v>469</v>
      </c>
      <c r="R49" s="4">
        <v>44944</v>
      </c>
      <c r="S49" s="4">
        <v>46769</v>
      </c>
      <c r="T49" s="3" t="s">
        <v>470</v>
      </c>
      <c r="U49" s="3" t="s">
        <v>471</v>
      </c>
    </row>
    <row r="50" spans="1:21" x14ac:dyDescent="0.3">
      <c r="A50" s="3" t="s">
        <v>472</v>
      </c>
      <c r="B50" s="3" t="s">
        <v>23</v>
      </c>
      <c r="C50" s="3" t="s">
        <v>473</v>
      </c>
      <c r="D50" s="3" t="s">
        <v>474</v>
      </c>
      <c r="E50" s="3" t="s">
        <v>136</v>
      </c>
      <c r="F50" s="3" t="s">
        <v>475</v>
      </c>
      <c r="G50" s="3" t="s">
        <v>204</v>
      </c>
      <c r="H50" s="3">
        <v>680001</v>
      </c>
      <c r="I50" s="3" t="s">
        <v>29</v>
      </c>
      <c r="J50" s="1"/>
      <c r="K50" s="1"/>
      <c r="L50" s="1"/>
      <c r="M50" s="1"/>
      <c r="N50" s="3" t="s">
        <v>476</v>
      </c>
      <c r="O50" s="4">
        <v>43398</v>
      </c>
      <c r="P50" s="4">
        <v>45223</v>
      </c>
      <c r="Q50" s="3" t="s">
        <v>477</v>
      </c>
      <c r="R50" s="4">
        <v>43398</v>
      </c>
      <c r="S50" s="4">
        <v>45223</v>
      </c>
      <c r="T50" s="3" t="s">
        <v>478</v>
      </c>
      <c r="U50" s="3" t="s">
        <v>479</v>
      </c>
    </row>
    <row r="51" spans="1:21" x14ac:dyDescent="0.3">
      <c r="A51" s="3" t="s">
        <v>480</v>
      </c>
      <c r="B51" s="3" t="s">
        <v>23</v>
      </c>
      <c r="C51" s="3" t="s">
        <v>481</v>
      </c>
      <c r="D51" s="3" t="s">
        <v>482</v>
      </c>
      <c r="E51" s="3" t="s">
        <v>483</v>
      </c>
      <c r="F51" s="3" t="s">
        <v>484</v>
      </c>
      <c r="G51" s="3" t="s">
        <v>68</v>
      </c>
      <c r="H51" s="3">
        <v>695001</v>
      </c>
      <c r="I51" s="3" t="s">
        <v>29</v>
      </c>
      <c r="J51" s="1"/>
      <c r="K51" s="1"/>
      <c r="L51" s="1"/>
      <c r="M51" s="1"/>
      <c r="N51" s="3" t="s">
        <v>485</v>
      </c>
      <c r="O51" s="4">
        <v>45512</v>
      </c>
      <c r="P51" s="4">
        <v>47337</v>
      </c>
      <c r="Q51" s="3" t="s">
        <v>486</v>
      </c>
      <c r="R51" s="4">
        <v>45512</v>
      </c>
      <c r="S51" s="4">
        <v>47337</v>
      </c>
      <c r="T51" s="3" t="s">
        <v>487</v>
      </c>
      <c r="U51" s="3" t="s">
        <v>488</v>
      </c>
    </row>
    <row r="52" spans="1:21" x14ac:dyDescent="0.3">
      <c r="A52" s="3" t="s">
        <v>489</v>
      </c>
      <c r="B52" s="3" t="s">
        <v>23</v>
      </c>
      <c r="C52" s="3" t="s">
        <v>490</v>
      </c>
      <c r="D52" s="3" t="s">
        <v>491</v>
      </c>
      <c r="E52" s="3" t="s">
        <v>492</v>
      </c>
      <c r="F52" s="3" t="s">
        <v>493</v>
      </c>
      <c r="G52" s="3" t="s">
        <v>124</v>
      </c>
      <c r="H52" s="3">
        <v>686001</v>
      </c>
      <c r="I52" s="3" t="s">
        <v>29</v>
      </c>
      <c r="J52" s="1"/>
      <c r="K52" s="1"/>
      <c r="L52" s="1"/>
      <c r="M52" s="1"/>
      <c r="N52" s="3" t="s">
        <v>494</v>
      </c>
      <c r="O52" s="1"/>
      <c r="P52" s="1"/>
      <c r="Q52" s="3" t="s">
        <v>495</v>
      </c>
      <c r="R52" s="1"/>
      <c r="S52" s="1"/>
      <c r="T52" s="3" t="s">
        <v>496</v>
      </c>
      <c r="U52" s="3" t="s">
        <v>497</v>
      </c>
    </row>
    <row r="53" spans="1:21" x14ac:dyDescent="0.3">
      <c r="A53" s="3" t="s">
        <v>498</v>
      </c>
      <c r="B53" s="3" t="s">
        <v>23</v>
      </c>
      <c r="C53" s="3" t="s">
        <v>499</v>
      </c>
      <c r="D53" s="3" t="s">
        <v>500</v>
      </c>
      <c r="E53" s="3" t="s">
        <v>125</v>
      </c>
      <c r="F53" s="3" t="s">
        <v>501</v>
      </c>
      <c r="G53" s="3" t="s">
        <v>125</v>
      </c>
      <c r="H53" s="3">
        <v>673002</v>
      </c>
      <c r="I53" s="3" t="s">
        <v>29</v>
      </c>
      <c r="J53" s="1"/>
      <c r="K53" s="1"/>
      <c r="L53" s="1"/>
      <c r="M53" s="1"/>
      <c r="N53" s="3" t="s">
        <v>502</v>
      </c>
      <c r="O53" s="4">
        <v>45199</v>
      </c>
      <c r="P53" s="4">
        <v>47025</v>
      </c>
      <c r="Q53" s="3" t="s">
        <v>503</v>
      </c>
      <c r="R53" s="4">
        <v>45199</v>
      </c>
      <c r="S53" s="4">
        <v>47025</v>
      </c>
      <c r="T53" s="3" t="s">
        <v>504</v>
      </c>
      <c r="U53" s="3" t="s">
        <v>505</v>
      </c>
    </row>
    <row r="54" spans="1:21" x14ac:dyDescent="0.3">
      <c r="A54" s="3" t="s">
        <v>506</v>
      </c>
      <c r="B54" s="3" t="s">
        <v>23</v>
      </c>
      <c r="C54" s="3" t="s">
        <v>507</v>
      </c>
      <c r="D54" s="3" t="s">
        <v>508</v>
      </c>
      <c r="E54" s="3" t="s">
        <v>509</v>
      </c>
      <c r="F54" s="3" t="s">
        <v>510</v>
      </c>
      <c r="G54" s="3" t="s">
        <v>511</v>
      </c>
      <c r="H54" s="3">
        <v>686661</v>
      </c>
      <c r="I54" s="3" t="s">
        <v>29</v>
      </c>
      <c r="J54" s="1"/>
      <c r="K54" s="1"/>
      <c r="L54" s="1"/>
      <c r="M54" s="1"/>
      <c r="N54" s="3" t="s">
        <v>512</v>
      </c>
      <c r="O54" s="4">
        <v>43207</v>
      </c>
      <c r="P54" s="4">
        <v>45032</v>
      </c>
      <c r="Q54" s="3" t="s">
        <v>513</v>
      </c>
      <c r="R54" s="4">
        <v>43207</v>
      </c>
      <c r="S54" s="4">
        <v>45032</v>
      </c>
      <c r="T54" s="3" t="s">
        <v>514</v>
      </c>
      <c r="U54" s="3" t="s">
        <v>515</v>
      </c>
    </row>
    <row r="55" spans="1:21" x14ac:dyDescent="0.3">
      <c r="A55" s="3" t="s">
        <v>516</v>
      </c>
      <c r="B55" s="3" t="s">
        <v>23</v>
      </c>
      <c r="C55" s="3" t="s">
        <v>517</v>
      </c>
      <c r="D55" s="3" t="s">
        <v>518</v>
      </c>
      <c r="E55" s="3" t="s">
        <v>519</v>
      </c>
      <c r="F55" s="3" t="s">
        <v>520</v>
      </c>
      <c r="G55" s="3" t="s">
        <v>521</v>
      </c>
      <c r="H55" s="3">
        <v>680307</v>
      </c>
      <c r="I55" s="3" t="s">
        <v>29</v>
      </c>
      <c r="J55" s="1"/>
      <c r="K55" s="1"/>
      <c r="L55" s="1"/>
      <c r="M55" s="1"/>
      <c r="N55" s="3" t="s">
        <v>522</v>
      </c>
      <c r="O55" s="4">
        <v>45199</v>
      </c>
      <c r="P55" s="4">
        <v>47025</v>
      </c>
      <c r="Q55" s="3" t="s">
        <v>523</v>
      </c>
      <c r="R55" s="4">
        <v>45199</v>
      </c>
      <c r="S55" s="4">
        <v>47025</v>
      </c>
      <c r="T55" s="3" t="s">
        <v>524</v>
      </c>
      <c r="U55" s="3" t="s">
        <v>525</v>
      </c>
    </row>
    <row r="56" spans="1:21" x14ac:dyDescent="0.3">
      <c r="A56" s="3" t="s">
        <v>526</v>
      </c>
      <c r="B56" s="3" t="s">
        <v>23</v>
      </c>
      <c r="C56" s="3" t="s">
        <v>527</v>
      </c>
      <c r="D56" s="3" t="s">
        <v>528</v>
      </c>
      <c r="E56" s="3" t="s">
        <v>529</v>
      </c>
      <c r="F56" s="3" t="s">
        <v>530</v>
      </c>
      <c r="G56" s="3" t="s">
        <v>411</v>
      </c>
      <c r="H56" s="3">
        <v>689101</v>
      </c>
      <c r="I56" s="3" t="s">
        <v>29</v>
      </c>
      <c r="J56" s="3" t="s">
        <v>531</v>
      </c>
      <c r="K56" s="3" t="s">
        <v>532</v>
      </c>
      <c r="L56" s="3">
        <v>9447168783</v>
      </c>
      <c r="M56" s="3">
        <v>8281962787</v>
      </c>
      <c r="N56" s="3" t="s">
        <v>533</v>
      </c>
      <c r="O56" s="4">
        <v>43275</v>
      </c>
      <c r="P56" s="4">
        <v>45100</v>
      </c>
      <c r="Q56" s="3" t="s">
        <v>534</v>
      </c>
      <c r="R56" s="4">
        <v>43275</v>
      </c>
      <c r="S56" s="4">
        <v>45100</v>
      </c>
      <c r="T56" s="3" t="s">
        <v>535</v>
      </c>
      <c r="U56" s="3" t="s">
        <v>536</v>
      </c>
    </row>
    <row r="57" spans="1:21" x14ac:dyDescent="0.3">
      <c r="A57" s="3" t="s">
        <v>537</v>
      </c>
      <c r="B57" s="3" t="s">
        <v>23</v>
      </c>
      <c r="C57" s="3" t="s">
        <v>538</v>
      </c>
      <c r="D57" s="3" t="s">
        <v>539</v>
      </c>
      <c r="E57" s="3" t="s">
        <v>540</v>
      </c>
      <c r="F57" s="3" t="s">
        <v>541</v>
      </c>
      <c r="G57" s="3" t="s">
        <v>204</v>
      </c>
      <c r="H57" s="3">
        <v>680001</v>
      </c>
      <c r="I57" s="3" t="s">
        <v>29</v>
      </c>
      <c r="J57" s="1"/>
      <c r="K57" s="3">
        <v>9744009500</v>
      </c>
      <c r="L57" s="1"/>
      <c r="M57" s="1"/>
      <c r="N57" s="3" t="s">
        <v>542</v>
      </c>
      <c r="O57" s="1"/>
      <c r="P57" s="4">
        <v>47573</v>
      </c>
      <c r="Q57" s="3" t="s">
        <v>543</v>
      </c>
      <c r="R57" s="1"/>
      <c r="S57" s="4">
        <v>47573</v>
      </c>
      <c r="T57" s="3" t="s">
        <v>544</v>
      </c>
      <c r="U57" s="3" t="s">
        <v>545</v>
      </c>
    </row>
    <row r="58" spans="1:21" x14ac:dyDescent="0.3">
      <c r="A58" s="3" t="s">
        <v>546</v>
      </c>
      <c r="B58" s="3" t="s">
        <v>23</v>
      </c>
      <c r="C58" s="3" t="s">
        <v>547</v>
      </c>
      <c r="D58" s="3" t="s">
        <v>548</v>
      </c>
      <c r="E58" s="3" t="s">
        <v>549</v>
      </c>
      <c r="F58" s="3" t="s">
        <v>550</v>
      </c>
      <c r="G58" s="3" t="s">
        <v>204</v>
      </c>
      <c r="H58" s="3">
        <v>680001</v>
      </c>
      <c r="I58" s="3" t="s">
        <v>29</v>
      </c>
      <c r="J58" s="1"/>
      <c r="K58" s="3">
        <v>2445881</v>
      </c>
      <c r="L58" s="1"/>
      <c r="M58" s="1"/>
      <c r="N58" s="3" t="s">
        <v>551</v>
      </c>
      <c r="O58" s="4">
        <v>45457</v>
      </c>
      <c r="P58" s="4">
        <v>47177</v>
      </c>
      <c r="Q58" s="3" t="s">
        <v>552</v>
      </c>
      <c r="R58" s="4">
        <v>45457</v>
      </c>
      <c r="S58" s="4">
        <v>47177</v>
      </c>
      <c r="T58" s="3" t="s">
        <v>553</v>
      </c>
      <c r="U58" s="3" t="s">
        <v>554</v>
      </c>
    </row>
    <row r="59" spans="1:21" x14ac:dyDescent="0.3">
      <c r="A59" s="3" t="s">
        <v>555</v>
      </c>
      <c r="B59" s="3" t="s">
        <v>23</v>
      </c>
      <c r="C59" s="3" t="s">
        <v>556</v>
      </c>
      <c r="D59" s="3" t="s">
        <v>557</v>
      </c>
      <c r="E59" s="3" t="s">
        <v>558</v>
      </c>
      <c r="F59" s="3" t="s">
        <v>559</v>
      </c>
      <c r="G59" s="3" t="s">
        <v>560</v>
      </c>
      <c r="H59" s="3">
        <v>689101</v>
      </c>
      <c r="I59" s="3" t="s">
        <v>29</v>
      </c>
      <c r="J59" s="1"/>
      <c r="K59" s="1"/>
      <c r="L59" s="1"/>
      <c r="M59" s="1"/>
      <c r="N59" s="3" t="s">
        <v>561</v>
      </c>
      <c r="O59" s="4">
        <v>44516</v>
      </c>
      <c r="P59" s="4">
        <v>46341</v>
      </c>
      <c r="Q59" s="3" t="s">
        <v>562</v>
      </c>
      <c r="R59" s="4">
        <v>44516</v>
      </c>
      <c r="S59" s="4">
        <v>46341</v>
      </c>
      <c r="T59" s="3" t="s">
        <v>563</v>
      </c>
      <c r="U59" s="3" t="s">
        <v>564</v>
      </c>
    </row>
    <row r="60" spans="1:21" x14ac:dyDescent="0.3">
      <c r="A60" s="3" t="s">
        <v>565</v>
      </c>
      <c r="B60" s="3" t="s">
        <v>23</v>
      </c>
      <c r="C60" s="3" t="s">
        <v>566</v>
      </c>
      <c r="D60" s="3" t="s">
        <v>567</v>
      </c>
      <c r="E60" s="3" t="s">
        <v>213</v>
      </c>
      <c r="F60" s="3" t="s">
        <v>568</v>
      </c>
      <c r="G60" s="3" t="s">
        <v>125</v>
      </c>
      <c r="H60" s="3">
        <v>673002</v>
      </c>
      <c r="I60" s="3" t="s">
        <v>29</v>
      </c>
      <c r="J60" s="1"/>
      <c r="K60" s="1"/>
      <c r="L60" s="1"/>
      <c r="M60" s="1"/>
      <c r="N60" s="3" t="s">
        <v>569</v>
      </c>
      <c r="O60" s="4">
        <v>45114</v>
      </c>
      <c r="P60" s="4">
        <v>46752</v>
      </c>
      <c r="Q60" s="3" t="s">
        <v>570</v>
      </c>
      <c r="R60" s="4">
        <v>45114</v>
      </c>
      <c r="S60" s="4">
        <v>46752</v>
      </c>
      <c r="T60" s="3" t="s">
        <v>571</v>
      </c>
      <c r="U60" s="3" t="s">
        <v>572</v>
      </c>
    </row>
    <row r="61" spans="1:21" x14ac:dyDescent="0.3">
      <c r="A61" s="3" t="s">
        <v>575</v>
      </c>
      <c r="B61" s="3" t="s">
        <v>23</v>
      </c>
      <c r="C61" s="3" t="s">
        <v>576</v>
      </c>
      <c r="D61" s="3" t="s">
        <v>577</v>
      </c>
      <c r="E61" s="3" t="s">
        <v>578</v>
      </c>
      <c r="F61" s="3" t="s">
        <v>579</v>
      </c>
      <c r="G61" s="3" t="s">
        <v>125</v>
      </c>
      <c r="H61" s="3">
        <v>673002</v>
      </c>
      <c r="I61" s="3" t="s">
        <v>29</v>
      </c>
      <c r="J61" s="1"/>
      <c r="K61" s="1"/>
      <c r="L61" s="1"/>
      <c r="M61" s="1"/>
      <c r="N61" s="3" t="s">
        <v>580</v>
      </c>
      <c r="O61" s="4">
        <v>44019</v>
      </c>
      <c r="P61" s="4">
        <v>45844</v>
      </c>
      <c r="Q61" s="3" t="s">
        <v>581</v>
      </c>
      <c r="R61" s="4">
        <v>44019</v>
      </c>
      <c r="S61" s="4">
        <v>45844</v>
      </c>
      <c r="T61" s="3" t="s">
        <v>582</v>
      </c>
      <c r="U61" s="3" t="s">
        <v>583</v>
      </c>
    </row>
    <row r="62" spans="1:21" x14ac:dyDescent="0.3">
      <c r="A62" s="3" t="s">
        <v>584</v>
      </c>
      <c r="B62" s="3" t="s">
        <v>23</v>
      </c>
      <c r="C62" s="3" t="s">
        <v>585</v>
      </c>
      <c r="D62" s="3" t="s">
        <v>586</v>
      </c>
      <c r="E62" s="3" t="s">
        <v>587</v>
      </c>
      <c r="F62" s="3" t="s">
        <v>588</v>
      </c>
      <c r="G62" s="3" t="s">
        <v>589</v>
      </c>
      <c r="H62" s="3">
        <v>676503</v>
      </c>
      <c r="I62" s="3" t="s">
        <v>29</v>
      </c>
      <c r="J62" s="1"/>
      <c r="K62" s="1"/>
      <c r="L62" s="1"/>
      <c r="M62" s="1"/>
      <c r="N62" s="3" t="s">
        <v>590</v>
      </c>
      <c r="O62" s="4">
        <v>42513</v>
      </c>
      <c r="P62" s="4">
        <v>44338</v>
      </c>
      <c r="Q62" s="3" t="s">
        <v>591</v>
      </c>
      <c r="R62" s="4">
        <v>42513</v>
      </c>
      <c r="S62" s="4">
        <v>44338</v>
      </c>
      <c r="T62" s="3" t="s">
        <v>592</v>
      </c>
      <c r="U62" s="3" t="s">
        <v>593</v>
      </c>
    </row>
    <row r="63" spans="1:21" x14ac:dyDescent="0.3">
      <c r="A63" s="3" t="s">
        <v>594</v>
      </c>
      <c r="B63" s="3" t="s">
        <v>23</v>
      </c>
      <c r="C63" s="3" t="s">
        <v>595</v>
      </c>
      <c r="D63" s="3" t="s">
        <v>596</v>
      </c>
      <c r="E63" s="3" t="s">
        <v>597</v>
      </c>
      <c r="F63" s="3" t="s">
        <v>598</v>
      </c>
      <c r="G63" s="3" t="s">
        <v>411</v>
      </c>
      <c r="H63" s="3">
        <v>689111</v>
      </c>
      <c r="I63" s="3" t="s">
        <v>29</v>
      </c>
      <c r="J63" s="1"/>
      <c r="K63" s="1"/>
      <c r="L63" s="1"/>
      <c r="M63" s="1"/>
      <c r="N63" s="3" t="s">
        <v>599</v>
      </c>
      <c r="O63" s="1"/>
      <c r="P63" s="4">
        <v>44731</v>
      </c>
      <c r="Q63" s="3" t="s">
        <v>600</v>
      </c>
      <c r="R63" s="1"/>
      <c r="S63" s="4">
        <v>44731</v>
      </c>
      <c r="T63" s="3" t="s">
        <v>601</v>
      </c>
      <c r="U63" s="3" t="s">
        <v>602</v>
      </c>
    </row>
    <row r="64" spans="1:21" x14ac:dyDescent="0.3">
      <c r="A64" s="3" t="s">
        <v>603</v>
      </c>
      <c r="B64" s="3" t="s">
        <v>23</v>
      </c>
      <c r="C64" s="3" t="s">
        <v>604</v>
      </c>
      <c r="D64" s="3" t="s">
        <v>605</v>
      </c>
      <c r="E64" s="3" t="s">
        <v>606</v>
      </c>
      <c r="F64" s="3" t="s">
        <v>607</v>
      </c>
      <c r="G64" s="3" t="s">
        <v>124</v>
      </c>
      <c r="H64" s="3">
        <v>686002</v>
      </c>
      <c r="I64" s="3" t="s">
        <v>29</v>
      </c>
      <c r="J64" s="1"/>
      <c r="K64" s="1"/>
      <c r="L64" s="1"/>
      <c r="M64" s="1"/>
      <c r="N64" s="3" t="s">
        <v>608</v>
      </c>
      <c r="O64" s="4">
        <v>45215</v>
      </c>
      <c r="P64" s="4">
        <v>47041</v>
      </c>
      <c r="Q64" s="3" t="s">
        <v>609</v>
      </c>
      <c r="R64" s="4">
        <v>45215</v>
      </c>
      <c r="S64" s="4">
        <v>47041</v>
      </c>
      <c r="T64" s="3" t="s">
        <v>610</v>
      </c>
      <c r="U64" s="3" t="s">
        <v>611</v>
      </c>
    </row>
    <row r="65" spans="1:21" x14ac:dyDescent="0.3">
      <c r="A65" s="3" t="s">
        <v>612</v>
      </c>
      <c r="B65" s="3" t="s">
        <v>23</v>
      </c>
      <c r="C65" s="3" t="s">
        <v>613</v>
      </c>
      <c r="D65" s="3" t="s">
        <v>614</v>
      </c>
      <c r="E65" s="3" t="s">
        <v>615</v>
      </c>
      <c r="F65" s="3" t="s">
        <v>616</v>
      </c>
      <c r="G65" s="3" t="s">
        <v>68</v>
      </c>
      <c r="H65" s="3">
        <v>691001</v>
      </c>
      <c r="I65" s="3" t="s">
        <v>29</v>
      </c>
      <c r="J65" s="1"/>
      <c r="K65" s="1"/>
      <c r="L65" s="1"/>
      <c r="M65" s="1"/>
      <c r="N65" s="3" t="s">
        <v>617</v>
      </c>
      <c r="O65" s="4">
        <v>44596</v>
      </c>
      <c r="P65" s="4">
        <v>46477</v>
      </c>
      <c r="Q65" s="3" t="s">
        <v>618</v>
      </c>
      <c r="R65" s="4">
        <v>44652</v>
      </c>
      <c r="S65" s="4">
        <v>46477</v>
      </c>
      <c r="T65" s="3" t="s">
        <v>619</v>
      </c>
      <c r="U65" s="3" t="s">
        <v>620</v>
      </c>
    </row>
    <row r="66" spans="1:21" x14ac:dyDescent="0.3">
      <c r="A66" s="3" t="s">
        <v>621</v>
      </c>
      <c r="B66" s="3" t="s">
        <v>23</v>
      </c>
      <c r="C66" s="3" t="s">
        <v>622</v>
      </c>
      <c r="D66" s="3" t="s">
        <v>623</v>
      </c>
      <c r="E66" s="3" t="s">
        <v>624</v>
      </c>
      <c r="F66" s="3" t="s">
        <v>625</v>
      </c>
      <c r="G66" s="3" t="s">
        <v>626</v>
      </c>
      <c r="H66" s="3">
        <v>673121</v>
      </c>
      <c r="I66" s="3" t="s">
        <v>29</v>
      </c>
      <c r="J66" s="1"/>
      <c r="K66" s="1"/>
      <c r="L66" s="1"/>
      <c r="M66" s="1"/>
      <c r="N66" s="3" t="s">
        <v>627</v>
      </c>
      <c r="O66" s="4">
        <v>41163</v>
      </c>
      <c r="P66" s="1"/>
      <c r="Q66" s="3" t="s">
        <v>628</v>
      </c>
      <c r="R66" s="4">
        <v>41163</v>
      </c>
      <c r="S66" s="1"/>
      <c r="T66" s="3" t="s">
        <v>629</v>
      </c>
      <c r="U66" s="3" t="s">
        <v>630</v>
      </c>
    </row>
    <row r="67" spans="1:21" x14ac:dyDescent="0.3">
      <c r="A67" s="3" t="s">
        <v>631</v>
      </c>
      <c r="B67" s="3" t="s">
        <v>23</v>
      </c>
      <c r="C67" s="3" t="s">
        <v>632</v>
      </c>
      <c r="D67" s="3" t="s">
        <v>633</v>
      </c>
      <c r="E67" s="3" t="s">
        <v>634</v>
      </c>
      <c r="F67" s="3" t="s">
        <v>635</v>
      </c>
      <c r="G67" s="3" t="s">
        <v>636</v>
      </c>
      <c r="H67" s="3">
        <v>688524</v>
      </c>
      <c r="I67" s="3" t="s">
        <v>29</v>
      </c>
      <c r="J67" s="3" t="s">
        <v>637</v>
      </c>
      <c r="K67" s="3" t="s">
        <v>638</v>
      </c>
      <c r="L67" s="3" t="s">
        <v>639</v>
      </c>
      <c r="M67" s="3">
        <v>9744403132</v>
      </c>
      <c r="N67" s="3" t="s">
        <v>640</v>
      </c>
      <c r="O67" s="4">
        <v>45236</v>
      </c>
      <c r="P67" s="4">
        <v>47062</v>
      </c>
      <c r="Q67" s="3" t="s">
        <v>641</v>
      </c>
      <c r="R67" s="4">
        <v>45236</v>
      </c>
      <c r="S67" s="4">
        <v>47062</v>
      </c>
      <c r="T67" s="3" t="s">
        <v>642</v>
      </c>
      <c r="U67" s="3" t="s">
        <v>643</v>
      </c>
    </row>
    <row r="68" spans="1:21" x14ac:dyDescent="0.3">
      <c r="A68" s="3" t="s">
        <v>644</v>
      </c>
      <c r="B68" s="3" t="s">
        <v>23</v>
      </c>
      <c r="C68" s="3" t="s">
        <v>645</v>
      </c>
      <c r="D68" s="3" t="s">
        <v>646</v>
      </c>
      <c r="E68" s="3" t="s">
        <v>647</v>
      </c>
      <c r="F68" s="1"/>
      <c r="G68" s="3" t="s">
        <v>165</v>
      </c>
      <c r="H68" s="3">
        <v>682011</v>
      </c>
      <c r="I68" s="3" t="s">
        <v>29</v>
      </c>
      <c r="J68" s="1"/>
      <c r="K68" s="1"/>
      <c r="L68" s="1"/>
      <c r="M68" s="1"/>
      <c r="N68" s="3" t="s">
        <v>648</v>
      </c>
      <c r="O68" s="4">
        <v>45988</v>
      </c>
      <c r="P68" s="4">
        <v>47815</v>
      </c>
      <c r="Q68" s="3" t="s">
        <v>649</v>
      </c>
      <c r="R68" s="4">
        <v>45988</v>
      </c>
      <c r="S68" s="4">
        <v>47815</v>
      </c>
      <c r="T68" s="3" t="s">
        <v>573</v>
      </c>
      <c r="U68" s="3" t="s">
        <v>574</v>
      </c>
    </row>
    <row r="69" spans="1:21" x14ac:dyDescent="0.3">
      <c r="A69" s="3" t="s">
        <v>650</v>
      </c>
      <c r="B69" s="3" t="s">
        <v>23</v>
      </c>
      <c r="C69" s="3" t="s">
        <v>651</v>
      </c>
      <c r="D69" s="3" t="s">
        <v>652</v>
      </c>
      <c r="E69" s="3" t="s">
        <v>653</v>
      </c>
      <c r="F69" s="1"/>
      <c r="G69" s="3" t="s">
        <v>165</v>
      </c>
      <c r="H69" s="3">
        <v>682018</v>
      </c>
      <c r="I69" s="3" t="s">
        <v>29</v>
      </c>
      <c r="J69" s="1"/>
      <c r="K69" s="1"/>
      <c r="L69" s="1"/>
      <c r="M69" s="1"/>
      <c r="N69" s="3" t="s">
        <v>654</v>
      </c>
      <c r="O69" s="1"/>
      <c r="P69" s="4">
        <v>45746</v>
      </c>
      <c r="Q69" s="3" t="s">
        <v>655</v>
      </c>
      <c r="R69" s="1"/>
      <c r="S69" s="4">
        <v>45746</v>
      </c>
      <c r="T69" s="3" t="s">
        <v>656</v>
      </c>
      <c r="U69" s="3" t="s">
        <v>657</v>
      </c>
    </row>
    <row r="70" spans="1:21" x14ac:dyDescent="0.3">
      <c r="A70" s="3" t="s">
        <v>658</v>
      </c>
      <c r="B70" s="3" t="s">
        <v>23</v>
      </c>
      <c r="C70" s="3" t="s">
        <v>659</v>
      </c>
      <c r="D70" s="3" t="s">
        <v>660</v>
      </c>
      <c r="E70" s="3" t="s">
        <v>661</v>
      </c>
      <c r="F70" s="3" t="s">
        <v>662</v>
      </c>
      <c r="G70" s="3" t="s">
        <v>124</v>
      </c>
      <c r="H70" s="3">
        <v>686001</v>
      </c>
      <c r="I70" s="3" t="s">
        <v>29</v>
      </c>
      <c r="J70" s="1"/>
      <c r="K70" s="3">
        <v>4812566429</v>
      </c>
      <c r="L70" s="3">
        <v>4812564430</v>
      </c>
      <c r="M70" s="3">
        <v>8547755708</v>
      </c>
      <c r="N70" s="3" t="s">
        <v>663</v>
      </c>
      <c r="O70" s="4">
        <v>45425</v>
      </c>
      <c r="P70" s="4">
        <v>47236</v>
      </c>
      <c r="Q70" s="3" t="s">
        <v>664</v>
      </c>
      <c r="R70" s="4">
        <v>45425</v>
      </c>
      <c r="S70" s="4">
        <v>47236</v>
      </c>
      <c r="T70" s="3" t="s">
        <v>665</v>
      </c>
      <c r="U70" s="3" t="s">
        <v>666</v>
      </c>
    </row>
    <row r="71" spans="1:21" x14ac:dyDescent="0.3">
      <c r="A71" s="3" t="s">
        <v>667</v>
      </c>
      <c r="B71" s="3" t="s">
        <v>23</v>
      </c>
      <c r="C71" s="3" t="s">
        <v>668</v>
      </c>
      <c r="D71" s="3" t="s">
        <v>669</v>
      </c>
      <c r="E71" s="3" t="s">
        <v>670</v>
      </c>
      <c r="F71" s="3" t="s">
        <v>671</v>
      </c>
      <c r="G71" s="3" t="s">
        <v>310</v>
      </c>
      <c r="H71" s="3">
        <v>670001</v>
      </c>
      <c r="I71" s="3" t="s">
        <v>29</v>
      </c>
      <c r="J71" s="1"/>
      <c r="K71" s="1"/>
      <c r="L71" s="1"/>
      <c r="M71" s="1"/>
      <c r="N71" s="3" t="s">
        <v>672</v>
      </c>
      <c r="O71" s="4">
        <v>41989</v>
      </c>
      <c r="P71" s="1"/>
      <c r="Q71" s="3" t="s">
        <v>673</v>
      </c>
      <c r="R71" s="4">
        <v>41989</v>
      </c>
      <c r="S71" s="1"/>
      <c r="T71" s="3" t="s">
        <v>674</v>
      </c>
      <c r="U71" s="3" t="s">
        <v>675</v>
      </c>
    </row>
    <row r="72" spans="1:21" x14ac:dyDescent="0.3">
      <c r="A72" s="3" t="s">
        <v>676</v>
      </c>
      <c r="B72" s="3" t="s">
        <v>23</v>
      </c>
      <c r="C72" s="3" t="s">
        <v>677</v>
      </c>
      <c r="D72" s="3" t="s">
        <v>678</v>
      </c>
      <c r="E72" s="3" t="s">
        <v>679</v>
      </c>
      <c r="F72" s="3" t="s">
        <v>680</v>
      </c>
      <c r="G72" s="3" t="s">
        <v>136</v>
      </c>
      <c r="H72" s="3">
        <v>680014</v>
      </c>
      <c r="I72" s="3" t="s">
        <v>29</v>
      </c>
      <c r="J72" s="1"/>
      <c r="K72" s="3">
        <v>4872322825</v>
      </c>
      <c r="L72" s="1"/>
      <c r="M72" s="1"/>
      <c r="N72" s="3" t="s">
        <v>681</v>
      </c>
      <c r="O72" s="4">
        <v>45161</v>
      </c>
      <c r="P72" s="4">
        <v>46987</v>
      </c>
      <c r="Q72" s="3" t="s">
        <v>682</v>
      </c>
      <c r="R72" s="4">
        <v>45161</v>
      </c>
      <c r="S72" s="4">
        <v>46987</v>
      </c>
      <c r="T72" s="3" t="s">
        <v>137</v>
      </c>
      <c r="U72" s="3" t="s">
        <v>138</v>
      </c>
    </row>
    <row r="73" spans="1:21" x14ac:dyDescent="0.3">
      <c r="A73" s="3" t="s">
        <v>683</v>
      </c>
      <c r="B73" s="3" t="s">
        <v>23</v>
      </c>
      <c r="C73" s="3" t="s">
        <v>684</v>
      </c>
      <c r="D73" s="3" t="s">
        <v>685</v>
      </c>
      <c r="E73" s="3" t="s">
        <v>686</v>
      </c>
      <c r="F73" s="3" t="s">
        <v>28</v>
      </c>
      <c r="G73" s="3" t="s">
        <v>28</v>
      </c>
      <c r="H73" s="3">
        <v>695033</v>
      </c>
      <c r="I73" s="3" t="s">
        <v>29</v>
      </c>
      <c r="J73" s="1"/>
      <c r="K73" s="1"/>
      <c r="L73" s="1"/>
      <c r="M73" s="1"/>
      <c r="N73" s="3" t="s">
        <v>687</v>
      </c>
      <c r="O73" s="1"/>
      <c r="P73" s="4">
        <v>46629</v>
      </c>
      <c r="Q73" s="3" t="s">
        <v>688</v>
      </c>
      <c r="R73" s="1"/>
      <c r="S73" s="4">
        <v>46629</v>
      </c>
      <c r="T73" s="3" t="s">
        <v>689</v>
      </c>
      <c r="U73" s="3" t="s">
        <v>690</v>
      </c>
    </row>
    <row r="74" spans="1:21" x14ac:dyDescent="0.3">
      <c r="A74" s="3" t="s">
        <v>691</v>
      </c>
      <c r="B74" s="3" t="s">
        <v>23</v>
      </c>
      <c r="C74" s="3" t="s">
        <v>692</v>
      </c>
      <c r="D74" s="3" t="s">
        <v>693</v>
      </c>
      <c r="E74" s="3" t="s">
        <v>694</v>
      </c>
      <c r="F74" s="3" t="s">
        <v>695</v>
      </c>
      <c r="G74" s="3" t="s">
        <v>124</v>
      </c>
      <c r="H74" s="3">
        <v>686001</v>
      </c>
      <c r="I74" s="3" t="s">
        <v>29</v>
      </c>
      <c r="J74" s="1"/>
      <c r="K74" s="1"/>
      <c r="L74" s="1"/>
      <c r="M74" s="1"/>
      <c r="N74" s="3" t="s">
        <v>696</v>
      </c>
      <c r="O74" s="4">
        <v>44185</v>
      </c>
      <c r="P74" s="4">
        <v>46010</v>
      </c>
      <c r="Q74" s="3" t="s">
        <v>697</v>
      </c>
      <c r="R74" s="4">
        <v>44185</v>
      </c>
      <c r="S74" s="4">
        <v>46010</v>
      </c>
      <c r="T74" s="3" t="s">
        <v>698</v>
      </c>
      <c r="U74" s="3" t="s">
        <v>699</v>
      </c>
    </row>
    <row r="75" spans="1:21" x14ac:dyDescent="0.3">
      <c r="A75" s="3" t="s">
        <v>700</v>
      </c>
      <c r="B75" s="3" t="s">
        <v>23</v>
      </c>
      <c r="C75" s="3" t="s">
        <v>701</v>
      </c>
      <c r="D75" s="3" t="s">
        <v>702</v>
      </c>
      <c r="E75" s="3" t="s">
        <v>703</v>
      </c>
      <c r="F75" s="3" t="s">
        <v>704</v>
      </c>
      <c r="G75" s="3" t="s">
        <v>705</v>
      </c>
      <c r="H75" s="3">
        <v>676101</v>
      </c>
      <c r="I75" s="3" t="s">
        <v>29</v>
      </c>
      <c r="J75" s="1"/>
      <c r="K75" s="1"/>
      <c r="L75" s="1"/>
      <c r="M75" s="1"/>
      <c r="N75" s="3" t="s">
        <v>706</v>
      </c>
      <c r="O75" s="4">
        <v>45602</v>
      </c>
      <c r="P75" s="4">
        <v>47427</v>
      </c>
      <c r="Q75" s="3" t="s">
        <v>707</v>
      </c>
      <c r="R75" s="4">
        <v>45602</v>
      </c>
      <c r="S75" s="4">
        <v>47427</v>
      </c>
      <c r="T75" s="3" t="s">
        <v>708</v>
      </c>
      <c r="U75" s="3" t="s">
        <v>709</v>
      </c>
    </row>
    <row r="76" spans="1:21" x14ac:dyDescent="0.3">
      <c r="A76" s="3" t="s">
        <v>710</v>
      </c>
      <c r="B76" s="3" t="s">
        <v>23</v>
      </c>
      <c r="C76" s="3" t="s">
        <v>711</v>
      </c>
      <c r="D76" s="3" t="s">
        <v>712</v>
      </c>
      <c r="E76" s="3" t="s">
        <v>713</v>
      </c>
      <c r="F76" s="3" t="s">
        <v>714</v>
      </c>
      <c r="G76" s="3" t="s">
        <v>392</v>
      </c>
      <c r="H76" s="3">
        <v>676519</v>
      </c>
      <c r="I76" s="3" t="s">
        <v>29</v>
      </c>
      <c r="J76" s="1"/>
      <c r="K76" s="1"/>
      <c r="L76" s="1"/>
      <c r="M76" s="1"/>
      <c r="N76" s="3" t="s">
        <v>715</v>
      </c>
      <c r="O76" s="4">
        <v>42951</v>
      </c>
      <c r="P76" s="4">
        <v>44776</v>
      </c>
      <c r="Q76" s="3" t="s">
        <v>716</v>
      </c>
      <c r="R76" s="4">
        <v>42951</v>
      </c>
      <c r="S76" s="4">
        <v>44776</v>
      </c>
      <c r="T76" s="3" t="s">
        <v>717</v>
      </c>
      <c r="U76" s="3" t="s">
        <v>718</v>
      </c>
    </row>
    <row r="77" spans="1:21" x14ac:dyDescent="0.3">
      <c r="A77" s="3" t="s">
        <v>719</v>
      </c>
      <c r="B77" s="3" t="s">
        <v>23</v>
      </c>
      <c r="C77" s="3" t="s">
        <v>720</v>
      </c>
      <c r="D77" s="3" t="s">
        <v>721</v>
      </c>
      <c r="E77" s="3" t="s">
        <v>722</v>
      </c>
      <c r="F77" s="3" t="s">
        <v>723</v>
      </c>
      <c r="G77" s="3" t="s">
        <v>722</v>
      </c>
      <c r="H77" s="3">
        <v>689121</v>
      </c>
      <c r="I77" s="3" t="s">
        <v>29</v>
      </c>
      <c r="J77" s="1"/>
      <c r="K77" s="1"/>
      <c r="L77" s="1"/>
      <c r="M77" s="1"/>
      <c r="N77" s="3" t="s">
        <v>724</v>
      </c>
      <c r="O77" s="1"/>
      <c r="P77" s="1"/>
      <c r="Q77" s="3" t="s">
        <v>725</v>
      </c>
      <c r="R77" s="1"/>
      <c r="S77" s="1"/>
      <c r="T77" s="3" t="s">
        <v>726</v>
      </c>
      <c r="U77" s="3" t="s">
        <v>727</v>
      </c>
    </row>
    <row r="78" spans="1:21" x14ac:dyDescent="0.3">
      <c r="A78" s="3" t="s">
        <v>728</v>
      </c>
      <c r="B78" s="3" t="s">
        <v>23</v>
      </c>
      <c r="C78" s="3" t="s">
        <v>729</v>
      </c>
      <c r="D78" s="3" t="s">
        <v>730</v>
      </c>
      <c r="E78" s="3" t="s">
        <v>731</v>
      </c>
      <c r="F78" s="3" t="s">
        <v>732</v>
      </c>
      <c r="G78" s="3" t="s">
        <v>125</v>
      </c>
      <c r="H78" s="3">
        <v>673004</v>
      </c>
      <c r="I78" s="3" t="s">
        <v>29</v>
      </c>
      <c r="J78" s="1"/>
      <c r="K78" s="1"/>
      <c r="L78" s="1"/>
      <c r="M78" s="1"/>
      <c r="N78" s="3" t="s">
        <v>733</v>
      </c>
      <c r="O78" s="1"/>
      <c r="P78" s="4">
        <v>47572</v>
      </c>
      <c r="Q78" s="3" t="s">
        <v>734</v>
      </c>
      <c r="R78" s="1"/>
      <c r="S78" s="4">
        <v>47572</v>
      </c>
      <c r="T78" s="3" t="s">
        <v>735</v>
      </c>
      <c r="U78" s="3" t="s">
        <v>736</v>
      </c>
    </row>
    <row r="79" spans="1:21" x14ac:dyDescent="0.3">
      <c r="A79" s="3" t="s">
        <v>737</v>
      </c>
      <c r="B79" s="3" t="s">
        <v>23</v>
      </c>
      <c r="C79" s="3" t="s">
        <v>738</v>
      </c>
      <c r="D79" s="3" t="s">
        <v>739</v>
      </c>
      <c r="E79" s="3" t="s">
        <v>740</v>
      </c>
      <c r="F79" s="3" t="s">
        <v>741</v>
      </c>
      <c r="G79" s="3" t="s">
        <v>125</v>
      </c>
      <c r="H79" s="3">
        <v>673004</v>
      </c>
      <c r="I79" s="3" t="s">
        <v>29</v>
      </c>
      <c r="J79" s="3" t="s">
        <v>742</v>
      </c>
      <c r="K79" s="3" t="s">
        <v>743</v>
      </c>
      <c r="L79" s="3">
        <v>4954311131</v>
      </c>
      <c r="M79" s="3">
        <v>9388890065</v>
      </c>
      <c r="N79" s="3" t="s">
        <v>744</v>
      </c>
      <c r="O79" s="4">
        <v>43555</v>
      </c>
      <c r="P79" s="4">
        <v>45381</v>
      </c>
      <c r="Q79" s="3" t="s">
        <v>745</v>
      </c>
      <c r="R79" s="4">
        <v>43555</v>
      </c>
      <c r="S79" s="4">
        <v>45381</v>
      </c>
      <c r="T79" s="3" t="s">
        <v>746</v>
      </c>
      <c r="U79" s="3" t="s">
        <v>747</v>
      </c>
    </row>
    <row r="80" spans="1:21" x14ac:dyDescent="0.3">
      <c r="A80" s="3" t="s">
        <v>748</v>
      </c>
      <c r="B80" s="3" t="s">
        <v>23</v>
      </c>
      <c r="C80" s="3" t="s">
        <v>749</v>
      </c>
      <c r="D80" s="3" t="s">
        <v>750</v>
      </c>
      <c r="E80" s="3" t="s">
        <v>751</v>
      </c>
      <c r="F80" s="3" t="s">
        <v>752</v>
      </c>
      <c r="G80" s="3" t="s">
        <v>28</v>
      </c>
      <c r="H80" s="3">
        <v>695011</v>
      </c>
      <c r="I80" s="3" t="s">
        <v>29</v>
      </c>
      <c r="J80" s="3" t="s">
        <v>753</v>
      </c>
      <c r="K80" s="3" t="s">
        <v>754</v>
      </c>
      <c r="L80" s="1"/>
      <c r="M80" s="1"/>
      <c r="N80" s="3" t="s">
        <v>755</v>
      </c>
      <c r="O80" s="1"/>
      <c r="P80" s="1"/>
      <c r="Q80" s="3" t="s">
        <v>756</v>
      </c>
      <c r="R80" s="1"/>
      <c r="S80" s="1"/>
      <c r="T80" s="1"/>
      <c r="U80" s="1"/>
    </row>
    <row r="81" spans="1:21" x14ac:dyDescent="0.3">
      <c r="A81" s="3" t="s">
        <v>757</v>
      </c>
      <c r="B81" s="3" t="s">
        <v>23</v>
      </c>
      <c r="C81" s="3" t="s">
        <v>758</v>
      </c>
      <c r="D81" s="3" t="s">
        <v>759</v>
      </c>
      <c r="E81" s="3" t="s">
        <v>760</v>
      </c>
      <c r="F81" s="3" t="s">
        <v>761</v>
      </c>
      <c r="G81" s="3" t="s">
        <v>28</v>
      </c>
      <c r="H81" s="3">
        <v>695004</v>
      </c>
      <c r="I81" s="3" t="s">
        <v>29</v>
      </c>
      <c r="J81" s="1"/>
      <c r="K81" s="3" t="s">
        <v>762</v>
      </c>
      <c r="L81" s="1"/>
      <c r="M81" s="3">
        <v>9447007575</v>
      </c>
      <c r="N81" s="3" t="s">
        <v>763</v>
      </c>
      <c r="O81" s="4">
        <v>43779</v>
      </c>
      <c r="P81" s="4">
        <v>45605</v>
      </c>
      <c r="Q81" s="3" t="s">
        <v>764</v>
      </c>
      <c r="R81" s="4">
        <v>43779</v>
      </c>
      <c r="S81" s="4">
        <v>45605</v>
      </c>
      <c r="T81" s="3" t="s">
        <v>765</v>
      </c>
      <c r="U81" s="3" t="s">
        <v>766</v>
      </c>
    </row>
    <row r="82" spans="1:21" x14ac:dyDescent="0.3">
      <c r="A82" s="3" t="s">
        <v>777</v>
      </c>
      <c r="B82" s="3" t="s">
        <v>23</v>
      </c>
      <c r="C82" s="3" t="s">
        <v>778</v>
      </c>
      <c r="D82" s="3" t="s">
        <v>768</v>
      </c>
      <c r="E82" s="3" t="s">
        <v>769</v>
      </c>
      <c r="F82" s="3" t="s">
        <v>770</v>
      </c>
      <c r="G82" s="3" t="s">
        <v>767</v>
      </c>
      <c r="H82" s="3">
        <v>562106</v>
      </c>
      <c r="I82" s="3" t="s">
        <v>770</v>
      </c>
      <c r="J82" s="1"/>
      <c r="K82" s="1"/>
      <c r="L82" s="1"/>
      <c r="M82" s="1"/>
      <c r="N82" s="3" t="s">
        <v>779</v>
      </c>
      <c r="O82" s="1"/>
      <c r="P82" s="4">
        <v>45223</v>
      </c>
      <c r="Q82" s="3" t="s">
        <v>780</v>
      </c>
      <c r="R82" s="1"/>
      <c r="S82" s="4">
        <v>45223</v>
      </c>
      <c r="T82" s="3" t="s">
        <v>771</v>
      </c>
      <c r="U82" s="1"/>
    </row>
    <row r="83" spans="1:21" x14ac:dyDescent="0.3">
      <c r="A83" s="3" t="s">
        <v>781</v>
      </c>
      <c r="B83" s="3" t="s">
        <v>23</v>
      </c>
      <c r="C83" s="3" t="s">
        <v>782</v>
      </c>
      <c r="D83" s="3" t="s">
        <v>783</v>
      </c>
      <c r="E83" s="3" t="s">
        <v>784</v>
      </c>
      <c r="F83" s="1"/>
      <c r="G83" s="3" t="s">
        <v>772</v>
      </c>
      <c r="H83" s="3">
        <v>635109</v>
      </c>
      <c r="I83" s="3" t="s">
        <v>773</v>
      </c>
      <c r="J83" s="1"/>
      <c r="K83" s="1"/>
      <c r="L83" s="1"/>
      <c r="M83" s="1"/>
      <c r="N83" s="3" t="s">
        <v>774</v>
      </c>
      <c r="O83" s="1"/>
      <c r="P83" s="4">
        <v>46861</v>
      </c>
      <c r="Q83" s="3" t="s">
        <v>775</v>
      </c>
      <c r="R83" s="1"/>
      <c r="S83" s="4">
        <v>46861</v>
      </c>
      <c r="T83" s="3" t="s">
        <v>776</v>
      </c>
      <c r="U83" s="3" t="s">
        <v>785</v>
      </c>
    </row>
    <row r="84" spans="1:21" x14ac:dyDescent="0.3">
      <c r="A84" s="3" t="s">
        <v>786</v>
      </c>
      <c r="B84" s="3" t="s">
        <v>23</v>
      </c>
      <c r="C84" s="3" t="s">
        <v>787</v>
      </c>
      <c r="D84" s="3" t="s">
        <v>788</v>
      </c>
      <c r="E84" s="3" t="s">
        <v>789</v>
      </c>
      <c r="F84" s="3" t="s">
        <v>790</v>
      </c>
      <c r="G84" s="3" t="s">
        <v>791</v>
      </c>
      <c r="H84" s="3">
        <v>686101</v>
      </c>
      <c r="I84" s="3" t="s">
        <v>29</v>
      </c>
      <c r="J84" s="1"/>
      <c r="K84" s="1"/>
      <c r="L84" s="1"/>
      <c r="M84" s="1"/>
      <c r="N84" s="3" t="s">
        <v>792</v>
      </c>
      <c r="O84" s="1"/>
      <c r="P84" s="1"/>
      <c r="Q84" s="3" t="s">
        <v>793</v>
      </c>
      <c r="R84" s="1"/>
      <c r="S84" s="1"/>
      <c r="T84" s="3" t="s">
        <v>794</v>
      </c>
      <c r="U84" s="3" t="s">
        <v>795</v>
      </c>
    </row>
    <row r="85" spans="1:21" x14ac:dyDescent="0.3">
      <c r="A85" s="3" t="s">
        <v>796</v>
      </c>
      <c r="B85" s="3" t="s">
        <v>23</v>
      </c>
      <c r="C85" s="3" t="s">
        <v>797</v>
      </c>
      <c r="D85" s="3" t="s">
        <v>798</v>
      </c>
      <c r="E85" s="3" t="s">
        <v>799</v>
      </c>
      <c r="F85" s="3" t="s">
        <v>800</v>
      </c>
      <c r="G85" s="3" t="s">
        <v>213</v>
      </c>
      <c r="H85" s="3">
        <v>673002</v>
      </c>
      <c r="I85" s="3" t="s">
        <v>29</v>
      </c>
      <c r="J85" s="1"/>
      <c r="K85" s="3">
        <v>4952701010</v>
      </c>
      <c r="L85" s="3">
        <v>2700960</v>
      </c>
      <c r="M85" s="3">
        <v>895559195</v>
      </c>
      <c r="N85" s="3" t="s">
        <v>801</v>
      </c>
      <c r="O85" s="4">
        <v>45373</v>
      </c>
      <c r="P85" s="4">
        <v>47198</v>
      </c>
      <c r="Q85" s="3" t="s">
        <v>802</v>
      </c>
      <c r="R85" s="4">
        <v>45373</v>
      </c>
      <c r="S85" s="4">
        <v>47382</v>
      </c>
      <c r="T85" s="3" t="s">
        <v>803</v>
      </c>
      <c r="U85" s="3" t="s">
        <v>804</v>
      </c>
    </row>
    <row r="86" spans="1:21" x14ac:dyDescent="0.3">
      <c r="A86" s="3" t="s">
        <v>805</v>
      </c>
      <c r="B86" s="3" t="s">
        <v>23</v>
      </c>
      <c r="C86" s="3" t="s">
        <v>806</v>
      </c>
      <c r="D86" s="3" t="s">
        <v>807</v>
      </c>
      <c r="E86" s="3" t="s">
        <v>335</v>
      </c>
      <c r="F86" s="3" t="s">
        <v>808</v>
      </c>
      <c r="G86" s="3" t="s">
        <v>808</v>
      </c>
      <c r="H86" s="3">
        <v>691523</v>
      </c>
      <c r="I86" s="3" t="s">
        <v>29</v>
      </c>
      <c r="J86" s="1"/>
      <c r="K86" s="1"/>
      <c r="L86" s="1"/>
      <c r="M86" s="1"/>
      <c r="N86" s="3" t="s">
        <v>809</v>
      </c>
      <c r="O86" s="1"/>
      <c r="P86" s="1"/>
      <c r="Q86" s="3" t="s">
        <v>810</v>
      </c>
      <c r="R86" s="1"/>
      <c r="S86" s="1"/>
      <c r="T86" s="3" t="s">
        <v>811</v>
      </c>
      <c r="U86" s="3" t="s">
        <v>812</v>
      </c>
    </row>
    <row r="87" spans="1:21" x14ac:dyDescent="0.3">
      <c r="A87" s="3" t="s">
        <v>813</v>
      </c>
      <c r="B87" s="3" t="s">
        <v>23</v>
      </c>
      <c r="C87" s="3" t="s">
        <v>814</v>
      </c>
      <c r="D87" s="3" t="s">
        <v>815</v>
      </c>
      <c r="E87" s="3" t="s">
        <v>816</v>
      </c>
      <c r="F87" s="3" t="s">
        <v>817</v>
      </c>
      <c r="G87" s="3" t="s">
        <v>68</v>
      </c>
      <c r="H87" s="3">
        <v>690518</v>
      </c>
      <c r="I87" s="3" t="s">
        <v>29</v>
      </c>
      <c r="J87" s="1"/>
      <c r="K87" s="3">
        <v>4762625409</v>
      </c>
      <c r="L87" s="3">
        <v>4762626409</v>
      </c>
      <c r="M87" s="3">
        <v>9388490030</v>
      </c>
      <c r="N87" s="3" t="s">
        <v>818</v>
      </c>
      <c r="O87" s="1"/>
      <c r="P87" s="1"/>
      <c r="Q87" s="3" t="s">
        <v>819</v>
      </c>
      <c r="R87" s="1"/>
      <c r="S87" s="1"/>
      <c r="T87" s="3" t="s">
        <v>820</v>
      </c>
      <c r="U87" s="3" t="s">
        <v>821</v>
      </c>
    </row>
    <row r="88" spans="1:21" x14ac:dyDescent="0.3">
      <c r="A88" s="3" t="s">
        <v>822</v>
      </c>
      <c r="B88" s="3" t="s">
        <v>23</v>
      </c>
      <c r="C88" s="3" t="s">
        <v>823</v>
      </c>
      <c r="D88" s="3" t="s">
        <v>824</v>
      </c>
      <c r="E88" s="3" t="s">
        <v>825</v>
      </c>
      <c r="F88" s="3" t="s">
        <v>826</v>
      </c>
      <c r="G88" s="3" t="s">
        <v>124</v>
      </c>
      <c r="H88" s="3">
        <v>686028</v>
      </c>
      <c r="I88" s="3" t="s">
        <v>29</v>
      </c>
      <c r="J88" s="1"/>
      <c r="K88" s="3" t="s">
        <v>827</v>
      </c>
      <c r="L88" s="3">
        <v>9746742741</v>
      </c>
      <c r="M88" s="3">
        <v>9746742742</v>
      </c>
      <c r="N88" s="3" t="s">
        <v>828</v>
      </c>
      <c r="O88" s="4">
        <v>44492</v>
      </c>
      <c r="P88" s="4">
        <v>46317</v>
      </c>
      <c r="Q88" s="3" t="s">
        <v>829</v>
      </c>
      <c r="R88" s="4">
        <v>44492</v>
      </c>
      <c r="S88" s="4">
        <v>46317</v>
      </c>
      <c r="T88" s="3" t="s">
        <v>830</v>
      </c>
      <c r="U88" s="3" t="s">
        <v>831</v>
      </c>
    </row>
    <row r="89" spans="1:21" x14ac:dyDescent="0.3">
      <c r="A89" s="3" t="s">
        <v>832</v>
      </c>
      <c r="B89" s="3" t="s">
        <v>23</v>
      </c>
      <c r="C89" s="3" t="s">
        <v>833</v>
      </c>
      <c r="D89" s="3" t="s">
        <v>834</v>
      </c>
      <c r="E89" s="3" t="s">
        <v>835</v>
      </c>
      <c r="F89" s="1"/>
      <c r="G89" s="3" t="s">
        <v>39</v>
      </c>
      <c r="H89" s="3">
        <v>689101</v>
      </c>
      <c r="I89" s="3" t="s">
        <v>29</v>
      </c>
      <c r="J89" s="1"/>
      <c r="K89" s="1"/>
      <c r="L89" s="1"/>
      <c r="M89" s="1"/>
      <c r="N89" s="3" t="s">
        <v>836</v>
      </c>
      <c r="O89" s="1"/>
      <c r="P89" s="1"/>
      <c r="Q89" s="3" t="s">
        <v>837</v>
      </c>
      <c r="R89" s="1"/>
      <c r="S89" s="1"/>
      <c r="T89" s="3" t="s">
        <v>838</v>
      </c>
      <c r="U89" s="3" t="s">
        <v>839</v>
      </c>
    </row>
    <row r="90" spans="1:21" x14ac:dyDescent="0.3">
      <c r="A90" s="3" t="s">
        <v>840</v>
      </c>
      <c r="B90" s="3" t="s">
        <v>23</v>
      </c>
      <c r="C90" s="3" t="s">
        <v>841</v>
      </c>
      <c r="D90" s="3" t="s">
        <v>842</v>
      </c>
      <c r="E90" s="3" t="s">
        <v>843</v>
      </c>
      <c r="F90" s="1"/>
      <c r="G90" s="3" t="s">
        <v>124</v>
      </c>
      <c r="H90" s="3">
        <v>686001</v>
      </c>
      <c r="I90" s="3" t="s">
        <v>29</v>
      </c>
      <c r="J90" s="1"/>
      <c r="K90" s="1"/>
      <c r="L90" s="3">
        <v>4812301940</v>
      </c>
      <c r="M90" s="3">
        <v>4812566240</v>
      </c>
      <c r="N90" s="3" t="s">
        <v>844</v>
      </c>
      <c r="O90" s="1"/>
      <c r="P90" s="1"/>
      <c r="Q90" s="3" t="s">
        <v>845</v>
      </c>
      <c r="R90" s="1"/>
      <c r="S90" s="1"/>
      <c r="T90" s="3" t="s">
        <v>846</v>
      </c>
      <c r="U90" s="3" t="s">
        <v>847</v>
      </c>
    </row>
    <row r="91" spans="1:21" x14ac:dyDescent="0.3">
      <c r="A91" s="3" t="s">
        <v>848</v>
      </c>
      <c r="B91" s="3" t="s">
        <v>23</v>
      </c>
      <c r="C91" s="3" t="s">
        <v>849</v>
      </c>
      <c r="D91" s="3" t="s">
        <v>850</v>
      </c>
      <c r="E91" s="3" t="s">
        <v>851</v>
      </c>
      <c r="F91" s="3" t="s">
        <v>852</v>
      </c>
      <c r="G91" s="3" t="s">
        <v>28</v>
      </c>
      <c r="H91" s="3">
        <v>695001</v>
      </c>
      <c r="I91" s="3" t="s">
        <v>29</v>
      </c>
      <c r="J91" s="1"/>
      <c r="K91" s="1"/>
      <c r="L91" s="1"/>
      <c r="M91" s="1"/>
      <c r="N91" s="3" t="s">
        <v>853</v>
      </c>
      <c r="O91" s="1"/>
      <c r="P91" s="4">
        <v>47309</v>
      </c>
      <c r="Q91" s="3" t="s">
        <v>854</v>
      </c>
      <c r="R91" s="1"/>
      <c r="S91" s="4">
        <v>47309</v>
      </c>
      <c r="T91" s="3" t="s">
        <v>855</v>
      </c>
      <c r="U91" s="3" t="s">
        <v>309</v>
      </c>
    </row>
    <row r="92" spans="1:21" x14ac:dyDescent="0.3">
      <c r="A92" s="3" t="s">
        <v>856</v>
      </c>
      <c r="B92" s="3" t="s">
        <v>23</v>
      </c>
      <c r="C92" s="3" t="s">
        <v>857</v>
      </c>
      <c r="D92" s="3" t="s">
        <v>858</v>
      </c>
      <c r="E92" s="3" t="s">
        <v>859</v>
      </c>
      <c r="F92" s="3" t="s">
        <v>860</v>
      </c>
      <c r="G92" s="3" t="s">
        <v>28</v>
      </c>
      <c r="H92" s="3">
        <v>695001</v>
      </c>
      <c r="I92" s="3" t="s">
        <v>29</v>
      </c>
      <c r="J92" s="1"/>
      <c r="K92" s="1"/>
      <c r="L92" s="1"/>
      <c r="M92" s="1"/>
      <c r="N92" s="3" t="s">
        <v>861</v>
      </c>
      <c r="O92" s="1"/>
      <c r="P92" s="4">
        <v>46823</v>
      </c>
      <c r="Q92" s="3" t="s">
        <v>862</v>
      </c>
      <c r="R92" s="1"/>
      <c r="S92" s="4">
        <v>46823</v>
      </c>
      <c r="T92" s="3" t="s">
        <v>863</v>
      </c>
      <c r="U92" s="3" t="s">
        <v>864</v>
      </c>
    </row>
    <row r="93" spans="1:21" x14ac:dyDescent="0.3">
      <c r="A93" s="3" t="s">
        <v>865</v>
      </c>
      <c r="B93" s="3" t="s">
        <v>23</v>
      </c>
      <c r="C93" s="3" t="s">
        <v>866</v>
      </c>
      <c r="D93" s="3" t="s">
        <v>867</v>
      </c>
      <c r="E93" s="3" t="s">
        <v>868</v>
      </c>
      <c r="F93" s="1"/>
      <c r="G93" s="3" t="s">
        <v>28</v>
      </c>
      <c r="H93" s="3">
        <v>695036</v>
      </c>
      <c r="I93" s="3" t="s">
        <v>29</v>
      </c>
      <c r="J93" s="1"/>
      <c r="K93" s="1"/>
      <c r="L93" s="1"/>
      <c r="M93" s="1"/>
      <c r="N93" s="3" t="s">
        <v>869</v>
      </c>
      <c r="O93" s="1"/>
      <c r="P93" s="4">
        <v>47299</v>
      </c>
      <c r="Q93" s="3" t="s">
        <v>870</v>
      </c>
      <c r="R93" s="1"/>
      <c r="S93" s="4">
        <v>47299</v>
      </c>
      <c r="T93" s="3" t="s">
        <v>871</v>
      </c>
      <c r="U93" s="3" t="s">
        <v>872</v>
      </c>
    </row>
    <row r="94" spans="1:21" x14ac:dyDescent="0.3">
      <c r="A94" s="3" t="s">
        <v>873</v>
      </c>
      <c r="B94" s="3" t="s">
        <v>23</v>
      </c>
      <c r="C94" s="3" t="s">
        <v>874</v>
      </c>
      <c r="D94" s="3" t="s">
        <v>875</v>
      </c>
      <c r="E94" s="3" t="s">
        <v>876</v>
      </c>
      <c r="F94" s="1"/>
      <c r="G94" s="3" t="s">
        <v>117</v>
      </c>
      <c r="H94" s="3">
        <v>679322</v>
      </c>
      <c r="I94" s="3" t="s">
        <v>29</v>
      </c>
      <c r="J94" s="1"/>
      <c r="K94" s="3">
        <v>9388666500</v>
      </c>
      <c r="L94" s="3">
        <v>9387474186</v>
      </c>
      <c r="M94" s="3">
        <v>4933226488</v>
      </c>
      <c r="N94" s="3" t="s">
        <v>877</v>
      </c>
      <c r="O94" s="4">
        <v>44851</v>
      </c>
      <c r="P94" s="4">
        <v>46676</v>
      </c>
      <c r="Q94" s="3" t="s">
        <v>878</v>
      </c>
      <c r="R94" s="4">
        <v>44851</v>
      </c>
      <c r="S94" s="4">
        <v>46676</v>
      </c>
      <c r="T94" s="3" t="s">
        <v>879</v>
      </c>
      <c r="U94" s="3" t="s">
        <v>880</v>
      </c>
    </row>
    <row r="95" spans="1:21" x14ac:dyDescent="0.3">
      <c r="A95" s="3" t="s">
        <v>881</v>
      </c>
      <c r="B95" s="3" t="s">
        <v>23</v>
      </c>
      <c r="C95" s="3" t="s">
        <v>882</v>
      </c>
      <c r="D95" s="3" t="s">
        <v>883</v>
      </c>
      <c r="E95" s="3" t="s">
        <v>884</v>
      </c>
      <c r="F95" s="1"/>
      <c r="G95" s="3" t="s">
        <v>376</v>
      </c>
      <c r="H95" s="3">
        <v>688006</v>
      </c>
      <c r="I95" s="3" t="s">
        <v>29</v>
      </c>
      <c r="J95" s="1"/>
      <c r="K95" s="3">
        <v>9847936660</v>
      </c>
      <c r="L95" s="1"/>
      <c r="M95" s="1"/>
      <c r="N95" s="3" t="s">
        <v>885</v>
      </c>
      <c r="O95" s="1"/>
      <c r="P95" s="1"/>
      <c r="Q95" s="3" t="s">
        <v>886</v>
      </c>
      <c r="R95" s="1"/>
      <c r="S95" s="1"/>
      <c r="T95" s="3" t="s">
        <v>887</v>
      </c>
      <c r="U95" s="3" t="s">
        <v>888</v>
      </c>
    </row>
    <row r="96" spans="1:21" x14ac:dyDescent="0.3">
      <c r="A96" s="3" t="s">
        <v>889</v>
      </c>
      <c r="B96" s="3" t="s">
        <v>23</v>
      </c>
      <c r="C96" s="3" t="s">
        <v>890</v>
      </c>
      <c r="D96" s="3" t="s">
        <v>891</v>
      </c>
      <c r="E96" s="3" t="s">
        <v>892</v>
      </c>
      <c r="F96" s="3" t="s">
        <v>893</v>
      </c>
      <c r="G96" s="3" t="s">
        <v>376</v>
      </c>
      <c r="H96" s="3">
        <v>688010</v>
      </c>
      <c r="I96" s="3" t="s">
        <v>29</v>
      </c>
      <c r="J96" s="1"/>
      <c r="K96" s="1"/>
      <c r="L96" s="1"/>
      <c r="M96" s="1"/>
      <c r="N96" s="3" t="s">
        <v>894</v>
      </c>
      <c r="O96" s="1"/>
      <c r="P96" s="1"/>
      <c r="Q96" s="3" t="s">
        <v>895</v>
      </c>
      <c r="R96" s="1"/>
      <c r="S96" s="1"/>
      <c r="T96" s="3" t="s">
        <v>896</v>
      </c>
      <c r="U96" s="3" t="s">
        <v>897</v>
      </c>
    </row>
    <row r="97" spans="1:21" x14ac:dyDescent="0.3">
      <c r="A97" s="3" t="s">
        <v>898</v>
      </c>
      <c r="B97" s="3" t="s">
        <v>23</v>
      </c>
      <c r="C97" s="3" t="s">
        <v>899</v>
      </c>
      <c r="D97" s="3" t="s">
        <v>900</v>
      </c>
      <c r="E97" s="3" t="s">
        <v>901</v>
      </c>
      <c r="F97" s="3" t="s">
        <v>902</v>
      </c>
      <c r="G97" s="3" t="s">
        <v>204</v>
      </c>
      <c r="H97" s="3">
        <v>680001</v>
      </c>
      <c r="I97" s="3" t="s">
        <v>29</v>
      </c>
      <c r="J97" s="1"/>
      <c r="K97" s="1"/>
      <c r="L97" s="1"/>
      <c r="M97" s="1"/>
      <c r="N97" s="3" t="s">
        <v>903</v>
      </c>
      <c r="O97" s="4">
        <v>44562</v>
      </c>
      <c r="P97" s="1"/>
      <c r="Q97" s="3" t="s">
        <v>904</v>
      </c>
      <c r="R97" s="4">
        <v>44562</v>
      </c>
      <c r="S97" s="1"/>
      <c r="T97" s="3" t="s">
        <v>905</v>
      </c>
      <c r="U97" s="3" t="s">
        <v>906</v>
      </c>
    </row>
    <row r="98" spans="1:21" x14ac:dyDescent="0.3">
      <c r="A98" s="3" t="s">
        <v>907</v>
      </c>
      <c r="B98" s="3" t="s">
        <v>23</v>
      </c>
      <c r="C98" s="3" t="s">
        <v>908</v>
      </c>
      <c r="D98" s="3" t="s">
        <v>909</v>
      </c>
      <c r="E98" s="3" t="s">
        <v>910</v>
      </c>
      <c r="F98" s="3" t="s">
        <v>911</v>
      </c>
      <c r="G98" s="3" t="s">
        <v>165</v>
      </c>
      <c r="H98" s="3">
        <v>682018</v>
      </c>
      <c r="I98" s="3" t="s">
        <v>29</v>
      </c>
      <c r="J98" s="1"/>
      <c r="K98" s="1"/>
      <c r="L98" s="1"/>
      <c r="M98" s="1"/>
      <c r="N98" s="3" t="s">
        <v>912</v>
      </c>
      <c r="O98" s="4">
        <v>44069</v>
      </c>
      <c r="P98" s="4">
        <v>45894</v>
      </c>
      <c r="Q98" s="3" t="s">
        <v>913</v>
      </c>
      <c r="R98" s="4">
        <v>44069</v>
      </c>
      <c r="S98" s="4">
        <v>45894</v>
      </c>
      <c r="T98" s="3" t="s">
        <v>914</v>
      </c>
      <c r="U98" s="3" t="s">
        <v>915</v>
      </c>
    </row>
    <row r="99" spans="1:21" x14ac:dyDescent="0.3">
      <c r="A99" s="3" t="s">
        <v>916</v>
      </c>
      <c r="B99" s="3" t="s">
        <v>23</v>
      </c>
      <c r="C99" s="3" t="s">
        <v>917</v>
      </c>
      <c r="D99" s="3" t="s">
        <v>918</v>
      </c>
      <c r="E99" s="3" t="s">
        <v>919</v>
      </c>
      <c r="F99" s="3" t="s">
        <v>920</v>
      </c>
      <c r="G99" s="3" t="s">
        <v>117</v>
      </c>
      <c r="H99" s="3">
        <v>679322</v>
      </c>
      <c r="I99" s="3" t="s">
        <v>29</v>
      </c>
      <c r="J99" s="1"/>
      <c r="K99" s="1"/>
      <c r="L99" s="1"/>
      <c r="M99" s="1"/>
      <c r="N99" s="3" t="s">
        <v>921</v>
      </c>
      <c r="O99" s="4">
        <v>42906</v>
      </c>
      <c r="P99" s="4">
        <v>44731</v>
      </c>
      <c r="Q99" s="3" t="s">
        <v>922</v>
      </c>
      <c r="R99" s="4">
        <v>42906</v>
      </c>
      <c r="S99" s="4">
        <v>44731</v>
      </c>
      <c r="T99" s="3" t="s">
        <v>923</v>
      </c>
      <c r="U99" s="3" t="s">
        <v>924</v>
      </c>
    </row>
    <row r="100" spans="1:21" x14ac:dyDescent="0.3">
      <c r="A100" s="3" t="s">
        <v>925</v>
      </c>
      <c r="B100" s="3" t="s">
        <v>23</v>
      </c>
      <c r="C100" s="3" t="s">
        <v>926</v>
      </c>
      <c r="D100" s="3" t="s">
        <v>927</v>
      </c>
      <c r="E100" s="3" t="s">
        <v>928</v>
      </c>
      <c r="F100" s="3" t="s">
        <v>929</v>
      </c>
      <c r="G100" s="3" t="s">
        <v>376</v>
      </c>
      <c r="H100" s="3">
        <v>688001</v>
      </c>
      <c r="I100" s="3" t="s">
        <v>29</v>
      </c>
      <c r="J100" s="1"/>
      <c r="K100" s="3">
        <v>4772253354</v>
      </c>
      <c r="L100" s="3">
        <v>4772261554</v>
      </c>
      <c r="M100" s="3">
        <v>9895978050</v>
      </c>
      <c r="N100" s="3" t="s">
        <v>930</v>
      </c>
      <c r="O100" s="4">
        <v>45096</v>
      </c>
      <c r="P100" s="4">
        <v>46922</v>
      </c>
      <c r="Q100" s="3" t="s">
        <v>931</v>
      </c>
      <c r="R100" s="4">
        <v>45096</v>
      </c>
      <c r="S100" s="4">
        <v>46922</v>
      </c>
      <c r="T100" s="3" t="s">
        <v>932</v>
      </c>
      <c r="U100" s="3" t="s">
        <v>933</v>
      </c>
    </row>
    <row r="101" spans="1:21" x14ac:dyDescent="0.3">
      <c r="A101" s="3" t="s">
        <v>934</v>
      </c>
      <c r="B101" s="3" t="s">
        <v>23</v>
      </c>
      <c r="C101" s="3" t="s">
        <v>935</v>
      </c>
      <c r="D101" s="3" t="s">
        <v>936</v>
      </c>
      <c r="E101" s="3" t="s">
        <v>937</v>
      </c>
      <c r="F101" s="3" t="s">
        <v>938</v>
      </c>
      <c r="G101" s="3" t="s">
        <v>937</v>
      </c>
      <c r="H101" s="3">
        <v>685584</v>
      </c>
      <c r="I101" s="3" t="s">
        <v>29</v>
      </c>
      <c r="J101" s="1"/>
      <c r="K101" s="1"/>
      <c r="L101" s="1"/>
      <c r="M101" s="1"/>
      <c r="N101" s="3" t="s">
        <v>939</v>
      </c>
      <c r="O101" s="1"/>
      <c r="P101" s="1"/>
      <c r="Q101" s="3" t="s">
        <v>940</v>
      </c>
      <c r="R101" s="1"/>
      <c r="S101" s="1"/>
      <c r="T101" s="3" t="s">
        <v>941</v>
      </c>
      <c r="U101" s="3" t="s">
        <v>942</v>
      </c>
    </row>
    <row r="102" spans="1:21" x14ac:dyDescent="0.3">
      <c r="A102" s="3" t="s">
        <v>943</v>
      </c>
      <c r="B102" s="3" t="s">
        <v>23</v>
      </c>
      <c r="C102" s="3" t="s">
        <v>944</v>
      </c>
      <c r="D102" s="3" t="s">
        <v>945</v>
      </c>
      <c r="E102" s="3" t="s">
        <v>946</v>
      </c>
      <c r="F102" s="3" t="s">
        <v>947</v>
      </c>
      <c r="G102" s="3" t="s">
        <v>948</v>
      </c>
      <c r="H102" s="3">
        <v>676552</v>
      </c>
      <c r="I102" s="3" t="s">
        <v>29</v>
      </c>
      <c r="J102" s="1"/>
      <c r="K102" s="3">
        <v>4942640701</v>
      </c>
      <c r="L102" s="1"/>
      <c r="M102" s="3">
        <v>9447216285</v>
      </c>
      <c r="N102" s="3" t="s">
        <v>949</v>
      </c>
      <c r="O102" s="4">
        <v>40941</v>
      </c>
      <c r="P102" s="4">
        <v>46465</v>
      </c>
      <c r="Q102" s="3" t="s">
        <v>950</v>
      </c>
      <c r="R102" s="1"/>
      <c r="S102" s="4">
        <v>46465</v>
      </c>
      <c r="T102" s="3" t="s">
        <v>951</v>
      </c>
      <c r="U102" s="3" t="s">
        <v>952</v>
      </c>
    </row>
    <row r="103" spans="1:21" x14ac:dyDescent="0.3">
      <c r="A103" s="3" t="s">
        <v>953</v>
      </c>
      <c r="B103" s="3" t="s">
        <v>23</v>
      </c>
      <c r="C103" s="3" t="s">
        <v>954</v>
      </c>
      <c r="D103" s="3" t="s">
        <v>955</v>
      </c>
      <c r="E103" s="3" t="s">
        <v>956</v>
      </c>
      <c r="F103" s="3" t="s">
        <v>957</v>
      </c>
      <c r="G103" s="3" t="s">
        <v>204</v>
      </c>
      <c r="H103" s="3">
        <v>680004</v>
      </c>
      <c r="I103" s="3" t="s">
        <v>29</v>
      </c>
      <c r="J103" s="3" t="s">
        <v>958</v>
      </c>
      <c r="K103" s="3" t="s">
        <v>959</v>
      </c>
      <c r="L103" s="3" t="s">
        <v>960</v>
      </c>
      <c r="M103" s="3">
        <v>9447279399</v>
      </c>
      <c r="N103" s="3" t="s">
        <v>961</v>
      </c>
      <c r="O103" s="1"/>
      <c r="P103" s="4">
        <v>47572</v>
      </c>
      <c r="Q103" s="3" t="s">
        <v>962</v>
      </c>
      <c r="R103" s="1"/>
      <c r="S103" s="4">
        <v>47572</v>
      </c>
      <c r="T103" s="3" t="s">
        <v>963</v>
      </c>
      <c r="U103" s="3" t="s">
        <v>964</v>
      </c>
    </row>
    <row r="104" spans="1:21" x14ac:dyDescent="0.3">
      <c r="A104" s="3" t="s">
        <v>965</v>
      </c>
      <c r="B104" s="3" t="s">
        <v>23</v>
      </c>
      <c r="C104" s="3" t="s">
        <v>966</v>
      </c>
      <c r="D104" s="3" t="s">
        <v>967</v>
      </c>
      <c r="E104" s="3" t="s">
        <v>968</v>
      </c>
      <c r="F104" s="3" t="s">
        <v>969</v>
      </c>
      <c r="G104" s="3" t="s">
        <v>376</v>
      </c>
      <c r="H104" s="3">
        <v>688013</v>
      </c>
      <c r="I104" s="3" t="s">
        <v>29</v>
      </c>
      <c r="J104" s="1"/>
      <c r="K104" s="1"/>
      <c r="L104" s="1"/>
      <c r="M104" s="1"/>
      <c r="N104" s="3" t="s">
        <v>970</v>
      </c>
      <c r="O104" s="4">
        <v>44747</v>
      </c>
      <c r="P104" s="4">
        <v>46572</v>
      </c>
      <c r="Q104" s="3" t="s">
        <v>971</v>
      </c>
      <c r="R104" s="4">
        <v>44747</v>
      </c>
      <c r="S104" s="4">
        <v>46572</v>
      </c>
      <c r="T104" s="3" t="s">
        <v>972</v>
      </c>
      <c r="U104" s="3" t="s">
        <v>897</v>
      </c>
    </row>
    <row r="105" spans="1:21" x14ac:dyDescent="0.3">
      <c r="A105" s="3" t="s">
        <v>973</v>
      </c>
      <c r="B105" s="3" t="s">
        <v>23</v>
      </c>
      <c r="C105" s="3" t="s">
        <v>974</v>
      </c>
      <c r="D105" s="3" t="s">
        <v>975</v>
      </c>
      <c r="E105" s="3" t="s">
        <v>976</v>
      </c>
      <c r="F105" s="1"/>
      <c r="G105" s="3" t="s">
        <v>376</v>
      </c>
      <c r="H105" s="3">
        <v>688001</v>
      </c>
      <c r="I105" s="3" t="s">
        <v>29</v>
      </c>
      <c r="J105" s="1"/>
      <c r="K105" s="3">
        <v>4772251806</v>
      </c>
      <c r="L105" s="3">
        <v>2260160</v>
      </c>
      <c r="M105" s="1"/>
      <c r="N105" s="3" t="s">
        <v>977</v>
      </c>
      <c r="O105" s="1"/>
      <c r="P105" s="1"/>
      <c r="Q105" s="3" t="s">
        <v>978</v>
      </c>
      <c r="R105" s="1"/>
      <c r="S105" s="1"/>
      <c r="T105" s="3" t="s">
        <v>979</v>
      </c>
      <c r="U105" s="3" t="s">
        <v>980</v>
      </c>
    </row>
    <row r="106" spans="1:21" x14ac:dyDescent="0.3">
      <c r="A106" s="3" t="s">
        <v>981</v>
      </c>
      <c r="B106" s="3" t="s">
        <v>23</v>
      </c>
      <c r="C106" s="3" t="s">
        <v>982</v>
      </c>
      <c r="D106" s="3" t="s">
        <v>983</v>
      </c>
      <c r="E106" s="3" t="s">
        <v>984</v>
      </c>
      <c r="F106" s="3" t="s">
        <v>653</v>
      </c>
      <c r="G106" s="3" t="s">
        <v>165</v>
      </c>
      <c r="H106" s="3">
        <v>682018</v>
      </c>
      <c r="I106" s="3" t="s">
        <v>29</v>
      </c>
      <c r="J106" s="1"/>
      <c r="K106" s="1"/>
      <c r="L106" s="1"/>
      <c r="M106" s="1"/>
      <c r="N106" s="3" t="s">
        <v>985</v>
      </c>
      <c r="O106" s="1"/>
      <c r="P106" s="4">
        <v>47514</v>
      </c>
      <c r="Q106" s="3" t="s">
        <v>986</v>
      </c>
      <c r="R106" s="1"/>
      <c r="S106" s="4">
        <v>47514</v>
      </c>
      <c r="T106" s="3" t="s">
        <v>987</v>
      </c>
      <c r="U106" s="3" t="s">
        <v>988</v>
      </c>
    </row>
    <row r="107" spans="1:21" x14ac:dyDescent="0.3">
      <c r="A107" s="3" t="s">
        <v>989</v>
      </c>
      <c r="B107" s="3" t="s">
        <v>23</v>
      </c>
      <c r="C107" s="3" t="s">
        <v>990</v>
      </c>
      <c r="D107" s="3" t="s">
        <v>991</v>
      </c>
      <c r="E107" s="3" t="s">
        <v>992</v>
      </c>
      <c r="F107" s="3" t="s">
        <v>993</v>
      </c>
      <c r="G107" s="3" t="s">
        <v>376</v>
      </c>
      <c r="H107" s="3">
        <v>688001</v>
      </c>
      <c r="I107" s="3" t="s">
        <v>29</v>
      </c>
      <c r="J107" s="1"/>
      <c r="K107" s="1"/>
      <c r="L107" s="1"/>
      <c r="M107" s="1"/>
      <c r="N107" s="3" t="s">
        <v>994</v>
      </c>
      <c r="O107" s="4">
        <v>45311</v>
      </c>
      <c r="P107" s="4">
        <v>47137</v>
      </c>
      <c r="Q107" s="3" t="s">
        <v>995</v>
      </c>
      <c r="R107" s="4">
        <v>45311</v>
      </c>
      <c r="S107" s="4">
        <v>47137</v>
      </c>
      <c r="T107" s="3" t="s">
        <v>996</v>
      </c>
      <c r="U107" s="3" t="s">
        <v>997</v>
      </c>
    </row>
    <row r="108" spans="1:21" x14ac:dyDescent="0.3">
      <c r="A108" s="3" t="s">
        <v>998</v>
      </c>
      <c r="B108" s="3" t="s">
        <v>23</v>
      </c>
      <c r="C108" s="3" t="s">
        <v>999</v>
      </c>
      <c r="D108" s="3" t="s">
        <v>1000</v>
      </c>
      <c r="E108" s="3" t="s">
        <v>1001</v>
      </c>
      <c r="F108" s="3" t="s">
        <v>1002</v>
      </c>
      <c r="G108" s="3" t="s">
        <v>147</v>
      </c>
      <c r="H108" s="3">
        <v>670101</v>
      </c>
      <c r="I108" s="3" t="s">
        <v>29</v>
      </c>
      <c r="J108" s="1"/>
      <c r="K108" s="1"/>
      <c r="L108" s="1"/>
      <c r="M108" s="1"/>
      <c r="N108" s="3" t="s">
        <v>1003</v>
      </c>
      <c r="O108" s="4">
        <v>45176</v>
      </c>
      <c r="P108" s="4">
        <v>47463</v>
      </c>
      <c r="Q108" s="3" t="s">
        <v>1004</v>
      </c>
      <c r="R108" s="4">
        <v>45176</v>
      </c>
      <c r="S108" s="4">
        <v>47463</v>
      </c>
      <c r="T108" s="3" t="s">
        <v>1005</v>
      </c>
      <c r="U108" s="3" t="s">
        <v>1006</v>
      </c>
    </row>
    <row r="109" spans="1:21" x14ac:dyDescent="0.3">
      <c r="A109" s="3" t="s">
        <v>1007</v>
      </c>
      <c r="B109" s="3" t="s">
        <v>23</v>
      </c>
      <c r="C109" s="3" t="s">
        <v>1008</v>
      </c>
      <c r="D109" s="3" t="s">
        <v>1009</v>
      </c>
      <c r="E109" s="3" t="s">
        <v>705</v>
      </c>
      <c r="F109" s="3" t="s">
        <v>392</v>
      </c>
      <c r="G109" s="3" t="s">
        <v>705</v>
      </c>
      <c r="H109" s="3">
        <v>676101</v>
      </c>
      <c r="I109" s="3" t="s">
        <v>29</v>
      </c>
      <c r="J109" s="1"/>
      <c r="K109" s="3">
        <v>9349729349</v>
      </c>
      <c r="L109" s="1"/>
      <c r="M109" s="1"/>
      <c r="N109" s="3" t="s">
        <v>1010</v>
      </c>
      <c r="O109" s="4">
        <v>44902</v>
      </c>
      <c r="P109" s="4">
        <v>46727</v>
      </c>
      <c r="Q109" s="3" t="s">
        <v>1011</v>
      </c>
      <c r="R109" s="4">
        <v>44902</v>
      </c>
      <c r="S109" s="4">
        <v>46727</v>
      </c>
      <c r="T109" s="3" t="s">
        <v>1012</v>
      </c>
      <c r="U109" s="3" t="s">
        <v>1013</v>
      </c>
    </row>
    <row r="110" spans="1:21" x14ac:dyDescent="0.3">
      <c r="A110" s="3" t="s">
        <v>1014</v>
      </c>
      <c r="B110" s="3" t="s">
        <v>23</v>
      </c>
      <c r="C110" s="3" t="s">
        <v>1015</v>
      </c>
      <c r="D110" s="3" t="s">
        <v>1016</v>
      </c>
      <c r="E110" s="3" t="s">
        <v>1017</v>
      </c>
      <c r="F110" s="3" t="s">
        <v>1018</v>
      </c>
      <c r="G110" s="3" t="s">
        <v>204</v>
      </c>
      <c r="H110" s="3">
        <v>680001</v>
      </c>
      <c r="I110" s="3" t="s">
        <v>29</v>
      </c>
      <c r="J110" s="1"/>
      <c r="K110" s="1"/>
      <c r="L110" s="1"/>
      <c r="M110" s="1"/>
      <c r="N110" s="3" t="s">
        <v>1019</v>
      </c>
      <c r="O110" s="1"/>
      <c r="P110" s="1"/>
      <c r="Q110" s="3" t="s">
        <v>1020</v>
      </c>
      <c r="R110" s="1"/>
      <c r="S110" s="1"/>
      <c r="T110" s="3" t="s">
        <v>1021</v>
      </c>
      <c r="U110" s="3" t="s">
        <v>1022</v>
      </c>
    </row>
    <row r="111" spans="1:21" x14ac:dyDescent="0.3">
      <c r="A111" s="3" t="s">
        <v>1023</v>
      </c>
      <c r="B111" s="3" t="s">
        <v>23</v>
      </c>
      <c r="C111" s="3" t="s">
        <v>1024</v>
      </c>
      <c r="D111" s="3" t="s">
        <v>1025</v>
      </c>
      <c r="E111" s="3" t="s">
        <v>1026</v>
      </c>
      <c r="F111" s="3" t="s">
        <v>1027</v>
      </c>
      <c r="G111" s="3" t="s">
        <v>626</v>
      </c>
      <c r="H111" s="3">
        <v>673121</v>
      </c>
      <c r="I111" s="3" t="s">
        <v>29</v>
      </c>
      <c r="J111" s="3" t="s">
        <v>1028</v>
      </c>
      <c r="K111" s="3" t="s">
        <v>1029</v>
      </c>
      <c r="L111" s="1"/>
      <c r="M111" s="3">
        <v>9349516767</v>
      </c>
      <c r="N111" s="3" t="s">
        <v>1030</v>
      </c>
      <c r="O111" s="4">
        <v>45323</v>
      </c>
      <c r="P111" s="4">
        <v>47208</v>
      </c>
      <c r="Q111" s="3" t="s">
        <v>1031</v>
      </c>
      <c r="R111" s="4">
        <v>45323</v>
      </c>
      <c r="S111" s="4">
        <v>47208</v>
      </c>
      <c r="T111" s="3" t="s">
        <v>1032</v>
      </c>
      <c r="U111" s="3" t="s">
        <v>1033</v>
      </c>
    </row>
    <row r="112" spans="1:21" x14ac:dyDescent="0.3">
      <c r="A112" s="3" t="s">
        <v>1034</v>
      </c>
      <c r="B112" s="3" t="s">
        <v>23</v>
      </c>
      <c r="C112" s="3" t="s">
        <v>1035</v>
      </c>
      <c r="D112" s="3" t="s">
        <v>1036</v>
      </c>
      <c r="E112" s="3" t="s">
        <v>1037</v>
      </c>
      <c r="F112" s="3" t="s">
        <v>1038</v>
      </c>
      <c r="G112" s="3" t="s">
        <v>392</v>
      </c>
      <c r="H112" s="3">
        <v>679577</v>
      </c>
      <c r="I112" s="3" t="s">
        <v>29</v>
      </c>
      <c r="J112" s="1"/>
      <c r="K112" s="3" t="s">
        <v>1039</v>
      </c>
      <c r="L112" s="3" t="s">
        <v>1039</v>
      </c>
      <c r="M112" s="3">
        <v>9745020600</v>
      </c>
      <c r="N112" s="3" t="s">
        <v>1040</v>
      </c>
      <c r="O112" s="4">
        <v>45042</v>
      </c>
      <c r="P112" s="4">
        <v>46838</v>
      </c>
      <c r="Q112" s="3" t="s">
        <v>1041</v>
      </c>
      <c r="R112" s="4">
        <v>45042</v>
      </c>
      <c r="S112" s="4">
        <v>46838</v>
      </c>
      <c r="T112" s="3" t="s">
        <v>1042</v>
      </c>
      <c r="U112" s="3" t="s">
        <v>1043</v>
      </c>
    </row>
    <row r="113" spans="1:21" x14ac:dyDescent="0.3">
      <c r="A113" s="3" t="s">
        <v>1044</v>
      </c>
      <c r="B113" s="3" t="s">
        <v>23</v>
      </c>
      <c r="C113" s="3" t="s">
        <v>1045</v>
      </c>
      <c r="D113" s="3" t="s">
        <v>1046</v>
      </c>
      <c r="E113" s="3" t="s">
        <v>1047</v>
      </c>
      <c r="F113" s="3" t="s">
        <v>1048</v>
      </c>
      <c r="G113" s="3" t="s">
        <v>86</v>
      </c>
      <c r="H113" s="3">
        <v>678001</v>
      </c>
      <c r="I113" s="3" t="s">
        <v>29</v>
      </c>
      <c r="J113" s="1"/>
      <c r="K113" s="3" t="s">
        <v>1049</v>
      </c>
      <c r="L113" s="3" t="s">
        <v>1050</v>
      </c>
      <c r="M113" s="3">
        <v>9447181166</v>
      </c>
      <c r="N113" s="3" t="s">
        <v>1051</v>
      </c>
      <c r="O113" s="4">
        <v>45114</v>
      </c>
      <c r="P113" s="4">
        <v>46940</v>
      </c>
      <c r="Q113" s="3" t="s">
        <v>1052</v>
      </c>
      <c r="R113" s="4">
        <v>45114</v>
      </c>
      <c r="S113" s="4">
        <v>46940</v>
      </c>
      <c r="T113" s="3" t="s">
        <v>1053</v>
      </c>
      <c r="U113" s="3" t="s">
        <v>1054</v>
      </c>
    </row>
    <row r="114" spans="1:21" x14ac:dyDescent="0.3">
      <c r="A114" s="3" t="s">
        <v>1056</v>
      </c>
      <c r="B114" s="3" t="s">
        <v>23</v>
      </c>
      <c r="C114" s="3" t="s">
        <v>1057</v>
      </c>
      <c r="D114" s="3" t="s">
        <v>1058</v>
      </c>
      <c r="E114" s="3" t="s">
        <v>1059</v>
      </c>
      <c r="F114" s="3" t="s">
        <v>1060</v>
      </c>
      <c r="G114" s="3" t="s">
        <v>68</v>
      </c>
      <c r="H114" s="3">
        <v>691001</v>
      </c>
      <c r="I114" s="3" t="s">
        <v>29</v>
      </c>
      <c r="J114" s="1"/>
      <c r="K114" s="1"/>
      <c r="L114" s="1"/>
      <c r="M114" s="1"/>
      <c r="N114" s="3" t="s">
        <v>1061</v>
      </c>
      <c r="O114" s="1"/>
      <c r="P114" s="4">
        <v>47694</v>
      </c>
      <c r="Q114" s="3" t="s">
        <v>1062</v>
      </c>
      <c r="R114" s="1"/>
      <c r="S114" s="4">
        <v>47694</v>
      </c>
      <c r="T114" s="3" t="s">
        <v>1063</v>
      </c>
      <c r="U114" s="3" t="s">
        <v>1064</v>
      </c>
    </row>
    <row r="115" spans="1:21" x14ac:dyDescent="0.3">
      <c r="A115" s="3" t="s">
        <v>1065</v>
      </c>
      <c r="B115" s="3" t="s">
        <v>23</v>
      </c>
      <c r="C115" s="3" t="s">
        <v>1066</v>
      </c>
      <c r="D115" s="3" t="s">
        <v>1067</v>
      </c>
      <c r="E115" s="3" t="s">
        <v>1068</v>
      </c>
      <c r="F115" s="3" t="s">
        <v>1069</v>
      </c>
      <c r="G115" s="3" t="s">
        <v>310</v>
      </c>
      <c r="H115" s="3">
        <v>670001</v>
      </c>
      <c r="I115" s="3" t="s">
        <v>29</v>
      </c>
      <c r="J115" s="1"/>
      <c r="K115" s="1"/>
      <c r="L115" s="1"/>
      <c r="M115" s="1"/>
      <c r="N115" s="3" t="s">
        <v>1070</v>
      </c>
      <c r="O115" s="1"/>
      <c r="P115" s="4">
        <v>47502</v>
      </c>
      <c r="Q115" s="3" t="s">
        <v>1071</v>
      </c>
      <c r="R115" s="1"/>
      <c r="S115" s="4">
        <v>47502</v>
      </c>
      <c r="T115" s="3" t="s">
        <v>1072</v>
      </c>
      <c r="U115" s="3" t="s">
        <v>1055</v>
      </c>
    </row>
    <row r="116" spans="1:21" x14ac:dyDescent="0.3">
      <c r="A116" s="3" t="s">
        <v>1073</v>
      </c>
      <c r="B116" s="3" t="s">
        <v>23</v>
      </c>
      <c r="C116" s="3" t="s">
        <v>1074</v>
      </c>
      <c r="D116" s="3" t="s">
        <v>1075</v>
      </c>
      <c r="E116" s="3" t="s">
        <v>1076</v>
      </c>
      <c r="F116" s="3" t="s">
        <v>1077</v>
      </c>
      <c r="G116" s="3" t="s">
        <v>140</v>
      </c>
      <c r="H116" s="3">
        <v>671121</v>
      </c>
      <c r="I116" s="3" t="s">
        <v>29</v>
      </c>
      <c r="J116" s="1"/>
      <c r="K116" s="1"/>
      <c r="L116" s="1"/>
      <c r="M116" s="1"/>
      <c r="N116" s="3" t="s">
        <v>1078</v>
      </c>
      <c r="O116" s="4">
        <v>45107</v>
      </c>
      <c r="P116" s="4">
        <v>46933</v>
      </c>
      <c r="Q116" s="3" t="s">
        <v>1079</v>
      </c>
      <c r="R116" s="4">
        <v>45107</v>
      </c>
      <c r="S116" s="4">
        <v>46933</v>
      </c>
      <c r="T116" s="3" t="s">
        <v>1080</v>
      </c>
      <c r="U116" s="3" t="s">
        <v>1081</v>
      </c>
    </row>
    <row r="117" spans="1:21" x14ac:dyDescent="0.3">
      <c r="A117" s="3" t="s">
        <v>1082</v>
      </c>
      <c r="B117" s="3" t="s">
        <v>23</v>
      </c>
      <c r="C117" s="3" t="s">
        <v>1083</v>
      </c>
      <c r="D117" s="3" t="s">
        <v>1084</v>
      </c>
      <c r="E117" s="3" t="s">
        <v>1085</v>
      </c>
      <c r="F117" s="3" t="s">
        <v>1086</v>
      </c>
      <c r="G117" s="3" t="s">
        <v>1087</v>
      </c>
      <c r="H117" s="3">
        <v>670307</v>
      </c>
      <c r="I117" s="3" t="s">
        <v>29</v>
      </c>
      <c r="J117" s="1"/>
      <c r="K117" s="1"/>
      <c r="L117" s="1"/>
      <c r="M117" s="1"/>
      <c r="N117" s="3" t="s">
        <v>1088</v>
      </c>
      <c r="O117" s="1"/>
      <c r="P117" s="1"/>
      <c r="Q117" s="3" t="s">
        <v>1089</v>
      </c>
      <c r="R117" s="1"/>
      <c r="S117" s="1"/>
      <c r="T117" s="3" t="s">
        <v>1090</v>
      </c>
      <c r="U117" s="3" t="s">
        <v>1091</v>
      </c>
    </row>
    <row r="118" spans="1:21" x14ac:dyDescent="0.3">
      <c r="A118" s="3" t="s">
        <v>1092</v>
      </c>
      <c r="B118" s="3" t="s">
        <v>23</v>
      </c>
      <c r="C118" s="3" t="s">
        <v>1093</v>
      </c>
      <c r="D118" s="3" t="s">
        <v>1094</v>
      </c>
      <c r="E118" s="3" t="s">
        <v>1095</v>
      </c>
      <c r="F118" s="3" t="s">
        <v>1096</v>
      </c>
      <c r="G118" s="3" t="s">
        <v>86</v>
      </c>
      <c r="H118" s="3">
        <v>678001</v>
      </c>
      <c r="I118" s="3" t="s">
        <v>29</v>
      </c>
      <c r="J118" s="1"/>
      <c r="K118" s="1"/>
      <c r="L118" s="1"/>
      <c r="M118" s="1"/>
      <c r="N118" s="3" t="s">
        <v>1097</v>
      </c>
      <c r="O118" s="4">
        <v>43186</v>
      </c>
      <c r="P118" s="4">
        <v>45011</v>
      </c>
      <c r="Q118" s="3" t="s">
        <v>1098</v>
      </c>
      <c r="R118" s="4">
        <v>43186</v>
      </c>
      <c r="S118" s="4">
        <v>45011</v>
      </c>
      <c r="T118" s="3" t="s">
        <v>1099</v>
      </c>
      <c r="U118" s="3" t="s">
        <v>1100</v>
      </c>
    </row>
    <row r="119" spans="1:21" x14ac:dyDescent="0.3">
      <c r="A119" s="3" t="s">
        <v>1101</v>
      </c>
      <c r="B119" s="3" t="s">
        <v>23</v>
      </c>
      <c r="C119" s="3" t="s">
        <v>1102</v>
      </c>
      <c r="D119" s="3" t="s">
        <v>1103</v>
      </c>
      <c r="E119" s="3" t="s">
        <v>1104</v>
      </c>
      <c r="F119" s="3" t="s">
        <v>1105</v>
      </c>
      <c r="G119" s="3" t="s">
        <v>204</v>
      </c>
      <c r="H119" s="3">
        <v>680001</v>
      </c>
      <c r="I119" s="3" t="s">
        <v>29</v>
      </c>
      <c r="J119" s="1"/>
      <c r="K119" s="3">
        <v>4872440924</v>
      </c>
      <c r="L119" s="3">
        <v>2426689</v>
      </c>
      <c r="M119" s="3">
        <v>9207890111</v>
      </c>
      <c r="N119" s="3" t="s">
        <v>1106</v>
      </c>
      <c r="O119" s="4">
        <v>45282</v>
      </c>
      <c r="P119" s="4">
        <v>47108</v>
      </c>
      <c r="Q119" s="3" t="s">
        <v>1107</v>
      </c>
      <c r="R119" s="4">
        <v>45282</v>
      </c>
      <c r="S119" s="4">
        <v>47108</v>
      </c>
      <c r="T119" s="3" t="s">
        <v>1108</v>
      </c>
      <c r="U119" s="3" t="s">
        <v>1109</v>
      </c>
    </row>
    <row r="120" spans="1:21" x14ac:dyDescent="0.3">
      <c r="A120" s="3" t="s">
        <v>1110</v>
      </c>
      <c r="B120" s="3" t="s">
        <v>23</v>
      </c>
      <c r="C120" s="3" t="s">
        <v>1111</v>
      </c>
      <c r="D120" s="3" t="s">
        <v>1112</v>
      </c>
      <c r="E120" s="3" t="s">
        <v>1113</v>
      </c>
      <c r="F120" s="3" t="s">
        <v>1114</v>
      </c>
      <c r="G120" s="3" t="s">
        <v>204</v>
      </c>
      <c r="H120" s="3">
        <v>680001</v>
      </c>
      <c r="I120" s="3" t="s">
        <v>29</v>
      </c>
      <c r="J120" s="1"/>
      <c r="K120" s="1"/>
      <c r="L120" s="1"/>
      <c r="M120" s="1"/>
      <c r="N120" s="3" t="s">
        <v>1115</v>
      </c>
      <c r="O120" s="4">
        <v>45907</v>
      </c>
      <c r="P120" s="4">
        <v>47732</v>
      </c>
      <c r="Q120" s="3" t="s">
        <v>1116</v>
      </c>
      <c r="R120" s="4">
        <v>45907</v>
      </c>
      <c r="S120" s="4">
        <v>47733</v>
      </c>
      <c r="T120" s="3" t="s">
        <v>1117</v>
      </c>
      <c r="U120" s="3" t="s">
        <v>1118</v>
      </c>
    </row>
    <row r="121" spans="1:21" x14ac:dyDescent="0.3">
      <c r="A121" s="3" t="s">
        <v>1119</v>
      </c>
      <c r="B121" s="3" t="s">
        <v>23</v>
      </c>
      <c r="C121" s="3" t="s">
        <v>1120</v>
      </c>
      <c r="D121" s="3" t="s">
        <v>1121</v>
      </c>
      <c r="E121" s="3" t="s">
        <v>139</v>
      </c>
      <c r="F121" s="3" t="s">
        <v>1122</v>
      </c>
      <c r="G121" s="3" t="s">
        <v>39</v>
      </c>
      <c r="H121" s="3">
        <v>689645</v>
      </c>
      <c r="I121" s="3" t="s">
        <v>29</v>
      </c>
      <c r="J121" s="1"/>
      <c r="K121" s="1"/>
      <c r="L121" s="1"/>
      <c r="M121" s="1"/>
      <c r="N121" s="3" t="s">
        <v>1123</v>
      </c>
      <c r="O121" s="4">
        <v>43594</v>
      </c>
      <c r="P121" s="4">
        <v>45420</v>
      </c>
      <c r="Q121" s="3" t="s">
        <v>1124</v>
      </c>
      <c r="R121" s="4">
        <v>43594</v>
      </c>
      <c r="S121" s="4">
        <v>45420</v>
      </c>
      <c r="T121" s="3" t="s">
        <v>1125</v>
      </c>
      <c r="U121" s="3" t="s">
        <v>1126</v>
      </c>
    </row>
    <row r="122" spans="1:21" x14ac:dyDescent="0.3">
      <c r="A122" s="3" t="s">
        <v>1127</v>
      </c>
      <c r="B122" s="3" t="s">
        <v>23</v>
      </c>
      <c r="C122" s="3" t="s">
        <v>1128</v>
      </c>
      <c r="D122" s="3" t="s">
        <v>1129</v>
      </c>
      <c r="E122" s="3" t="s">
        <v>1130</v>
      </c>
      <c r="F122" s="3" t="s">
        <v>125</v>
      </c>
      <c r="G122" s="3" t="s">
        <v>125</v>
      </c>
      <c r="H122" s="3">
        <v>0</v>
      </c>
      <c r="I122" s="3" t="s">
        <v>29</v>
      </c>
      <c r="J122" s="1"/>
      <c r="K122" s="1"/>
      <c r="L122" s="1"/>
      <c r="M122" s="1"/>
      <c r="N122" s="3" t="s">
        <v>1131</v>
      </c>
      <c r="O122" s="1"/>
      <c r="P122" s="1"/>
      <c r="Q122" s="3" t="s">
        <v>1132</v>
      </c>
      <c r="R122" s="1"/>
      <c r="S122" s="1"/>
      <c r="T122" s="1"/>
      <c r="U122" s="3" t="s">
        <v>1133</v>
      </c>
    </row>
    <row r="123" spans="1:21" x14ac:dyDescent="0.3">
      <c r="A123" s="3" t="s">
        <v>1134</v>
      </c>
      <c r="B123" s="3" t="s">
        <v>23</v>
      </c>
      <c r="C123" s="3" t="s">
        <v>1135</v>
      </c>
      <c r="D123" s="3" t="s">
        <v>1136</v>
      </c>
      <c r="E123" s="3" t="s">
        <v>1137</v>
      </c>
      <c r="F123" s="3" t="s">
        <v>1138</v>
      </c>
      <c r="G123" s="3" t="s">
        <v>28</v>
      </c>
      <c r="H123" s="3">
        <v>695001</v>
      </c>
      <c r="I123" s="3" t="s">
        <v>29</v>
      </c>
      <c r="J123" s="1"/>
      <c r="K123" s="1"/>
      <c r="L123" s="1"/>
      <c r="M123" s="1"/>
      <c r="N123" s="3" t="s">
        <v>1139</v>
      </c>
      <c r="O123" s="1"/>
      <c r="P123" s="1"/>
      <c r="Q123" s="3" t="s">
        <v>1140</v>
      </c>
      <c r="R123" s="1"/>
      <c r="S123" s="1"/>
      <c r="T123" s="3" t="s">
        <v>1141</v>
      </c>
      <c r="U123" s="3" t="s">
        <v>1142</v>
      </c>
    </row>
    <row r="124" spans="1:21" x14ac:dyDescent="0.3">
      <c r="A124" s="3" t="s">
        <v>1143</v>
      </c>
      <c r="B124" s="3" t="s">
        <v>23</v>
      </c>
      <c r="C124" s="3" t="s">
        <v>1144</v>
      </c>
      <c r="D124" s="3" t="s">
        <v>1145</v>
      </c>
      <c r="E124" s="3" t="s">
        <v>86</v>
      </c>
      <c r="F124" s="3" t="s">
        <v>1146</v>
      </c>
      <c r="G124" s="3" t="s">
        <v>86</v>
      </c>
      <c r="H124" s="3">
        <v>678001</v>
      </c>
      <c r="I124" s="3" t="s">
        <v>29</v>
      </c>
      <c r="J124" s="1"/>
      <c r="K124" s="1"/>
      <c r="L124" s="1"/>
      <c r="M124" s="1"/>
      <c r="N124" s="3" t="s">
        <v>1147</v>
      </c>
      <c r="O124" s="1"/>
      <c r="P124" s="4">
        <v>47573</v>
      </c>
      <c r="Q124" s="3" t="s">
        <v>1148</v>
      </c>
      <c r="R124" s="1"/>
      <c r="S124" s="4">
        <v>47573</v>
      </c>
      <c r="T124" s="3" t="s">
        <v>1149</v>
      </c>
      <c r="U124" s="3" t="s">
        <v>1150</v>
      </c>
    </row>
    <row r="125" spans="1:21" x14ac:dyDescent="0.3">
      <c r="A125" s="3" t="s">
        <v>1154</v>
      </c>
      <c r="B125" s="3" t="s">
        <v>23</v>
      </c>
      <c r="C125" s="3" t="s">
        <v>1155</v>
      </c>
      <c r="D125" s="3" t="s">
        <v>1156</v>
      </c>
      <c r="E125" s="3" t="s">
        <v>140</v>
      </c>
      <c r="F125" s="3" t="s">
        <v>1157</v>
      </c>
      <c r="G125" s="3" t="s">
        <v>140</v>
      </c>
      <c r="H125" s="3">
        <v>671121</v>
      </c>
      <c r="I125" s="3" t="s">
        <v>29</v>
      </c>
      <c r="J125" s="1"/>
      <c r="K125" s="1"/>
      <c r="L125" s="1"/>
      <c r="M125" s="1"/>
      <c r="N125" s="3" t="s">
        <v>1158</v>
      </c>
      <c r="O125" s="1"/>
      <c r="P125" s="4">
        <v>47573</v>
      </c>
      <c r="Q125" s="3" t="s">
        <v>1159</v>
      </c>
      <c r="R125" s="1"/>
      <c r="S125" s="4">
        <v>47573</v>
      </c>
      <c r="T125" s="3" t="s">
        <v>1160</v>
      </c>
      <c r="U125" s="3" t="s">
        <v>1161</v>
      </c>
    </row>
    <row r="126" spans="1:21" x14ac:dyDescent="0.3">
      <c r="A126" s="3" t="s">
        <v>1162</v>
      </c>
      <c r="B126" s="3" t="s">
        <v>23</v>
      </c>
      <c r="C126" s="3" t="s">
        <v>1163</v>
      </c>
      <c r="D126" s="3" t="s">
        <v>1164</v>
      </c>
      <c r="E126" s="3" t="s">
        <v>1165</v>
      </c>
      <c r="F126" s="3" t="s">
        <v>1166</v>
      </c>
      <c r="G126" s="3" t="s">
        <v>310</v>
      </c>
      <c r="H126" s="3">
        <v>670001</v>
      </c>
      <c r="I126" s="3" t="s">
        <v>29</v>
      </c>
      <c r="J126" s="1"/>
      <c r="K126" s="1"/>
      <c r="L126" s="1"/>
      <c r="M126" s="1"/>
      <c r="N126" s="3" t="s">
        <v>1167</v>
      </c>
      <c r="O126" s="4">
        <v>45682</v>
      </c>
      <c r="P126" s="4">
        <v>47473</v>
      </c>
      <c r="Q126" s="3" t="s">
        <v>1168</v>
      </c>
      <c r="R126" s="4">
        <v>45682</v>
      </c>
      <c r="S126" s="4">
        <v>47473</v>
      </c>
      <c r="T126" s="3" t="s">
        <v>1169</v>
      </c>
      <c r="U126" s="3" t="s">
        <v>1170</v>
      </c>
    </row>
    <row r="127" spans="1:21" x14ac:dyDescent="0.3">
      <c r="A127" s="3" t="s">
        <v>1171</v>
      </c>
      <c r="B127" s="3" t="s">
        <v>23</v>
      </c>
      <c r="C127" s="3" t="s">
        <v>1172</v>
      </c>
      <c r="D127" s="3" t="s">
        <v>1173</v>
      </c>
      <c r="E127" s="3" t="s">
        <v>1174</v>
      </c>
      <c r="F127" s="3" t="s">
        <v>1175</v>
      </c>
      <c r="G127" s="3" t="s">
        <v>68</v>
      </c>
      <c r="H127" s="3">
        <v>691001</v>
      </c>
      <c r="I127" s="3" t="s">
        <v>29</v>
      </c>
      <c r="J127" s="1"/>
      <c r="K127" s="1"/>
      <c r="L127" s="1"/>
      <c r="M127" s="1"/>
      <c r="N127" s="3" t="s">
        <v>1176</v>
      </c>
      <c r="O127" s="4">
        <v>44579</v>
      </c>
      <c r="P127" s="4">
        <v>46404</v>
      </c>
      <c r="Q127" s="3" t="s">
        <v>1177</v>
      </c>
      <c r="R127" s="4">
        <v>44579</v>
      </c>
      <c r="S127" s="4">
        <v>46404</v>
      </c>
      <c r="T127" s="3" t="s">
        <v>1178</v>
      </c>
      <c r="U127" s="3" t="s">
        <v>1179</v>
      </c>
    </row>
    <row r="128" spans="1:21" x14ac:dyDescent="0.3">
      <c r="A128" s="3" t="s">
        <v>1180</v>
      </c>
      <c r="B128" s="3" t="s">
        <v>23</v>
      </c>
      <c r="C128" s="3" t="s">
        <v>1181</v>
      </c>
      <c r="D128" s="3" t="s">
        <v>1182</v>
      </c>
      <c r="E128" s="3" t="s">
        <v>1183</v>
      </c>
      <c r="F128" s="3" t="s">
        <v>1184</v>
      </c>
      <c r="G128" s="3" t="s">
        <v>376</v>
      </c>
      <c r="H128" s="3">
        <v>688011</v>
      </c>
      <c r="I128" s="3" t="s">
        <v>29</v>
      </c>
      <c r="J128" s="1"/>
      <c r="K128" s="3">
        <v>7012172639</v>
      </c>
      <c r="L128" s="1"/>
      <c r="M128" s="1"/>
      <c r="N128" s="3" t="s">
        <v>1185</v>
      </c>
      <c r="O128" s="1"/>
      <c r="P128" s="1"/>
      <c r="Q128" s="3" t="s">
        <v>1186</v>
      </c>
      <c r="R128" s="1"/>
      <c r="S128" s="1"/>
      <c r="T128" s="3" t="s">
        <v>1187</v>
      </c>
      <c r="U128" s="3" t="s">
        <v>1188</v>
      </c>
    </row>
    <row r="129" spans="1:21" x14ac:dyDescent="0.3">
      <c r="A129" s="3" t="s">
        <v>1189</v>
      </c>
      <c r="B129" s="3" t="s">
        <v>23</v>
      </c>
      <c r="C129" s="3" t="s">
        <v>1190</v>
      </c>
      <c r="D129" s="3" t="s">
        <v>1191</v>
      </c>
      <c r="E129" s="3" t="s">
        <v>1192</v>
      </c>
      <c r="F129" s="3" t="s">
        <v>1193</v>
      </c>
      <c r="G129" s="3" t="s">
        <v>165</v>
      </c>
      <c r="H129" s="3">
        <v>682028</v>
      </c>
      <c r="I129" s="3" t="s">
        <v>29</v>
      </c>
      <c r="J129" s="1"/>
      <c r="K129" s="3">
        <v>2803002</v>
      </c>
      <c r="L129" s="1"/>
      <c r="M129" s="1"/>
      <c r="N129" s="3" t="s">
        <v>1194</v>
      </c>
      <c r="O129" s="4">
        <v>43165</v>
      </c>
      <c r="P129" s="4">
        <v>44990</v>
      </c>
      <c r="Q129" s="3" t="s">
        <v>1195</v>
      </c>
      <c r="R129" s="4">
        <v>43165</v>
      </c>
      <c r="S129" s="4">
        <v>44990</v>
      </c>
      <c r="T129" s="3" t="s">
        <v>1196</v>
      </c>
      <c r="U129" s="3" t="s">
        <v>1197</v>
      </c>
    </row>
    <row r="130" spans="1:21" x14ac:dyDescent="0.3">
      <c r="A130" s="3" t="s">
        <v>1198</v>
      </c>
      <c r="B130" s="3" t="s">
        <v>23</v>
      </c>
      <c r="C130" s="3" t="s">
        <v>1199</v>
      </c>
      <c r="D130" s="3" t="s">
        <v>1200</v>
      </c>
      <c r="E130" s="3" t="s">
        <v>1201</v>
      </c>
      <c r="F130" s="3" t="s">
        <v>1202</v>
      </c>
      <c r="G130" s="3" t="s">
        <v>165</v>
      </c>
      <c r="H130" s="3">
        <v>682016</v>
      </c>
      <c r="I130" s="3" t="s">
        <v>29</v>
      </c>
      <c r="J130" s="1"/>
      <c r="K130" s="1"/>
      <c r="L130" s="1"/>
      <c r="M130" s="1"/>
      <c r="N130" s="3" t="s">
        <v>1203</v>
      </c>
      <c r="O130" s="4">
        <v>40280</v>
      </c>
      <c r="P130" s="1"/>
      <c r="Q130" s="3" t="s">
        <v>1204</v>
      </c>
      <c r="R130" s="1"/>
      <c r="S130" s="1"/>
      <c r="T130" s="3" t="s">
        <v>1205</v>
      </c>
      <c r="U130" s="3" t="s">
        <v>1206</v>
      </c>
    </row>
    <row r="131" spans="1:21" x14ac:dyDescent="0.3">
      <c r="A131" s="3" t="s">
        <v>1207</v>
      </c>
      <c r="B131" s="3" t="s">
        <v>23</v>
      </c>
      <c r="C131" s="3" t="s">
        <v>1208</v>
      </c>
      <c r="D131" s="3" t="s">
        <v>1209</v>
      </c>
      <c r="E131" s="3" t="s">
        <v>1210</v>
      </c>
      <c r="F131" s="3" t="s">
        <v>1211</v>
      </c>
      <c r="G131" s="3" t="s">
        <v>1087</v>
      </c>
      <c r="H131" s="3">
        <v>670307</v>
      </c>
      <c r="I131" s="3" t="s">
        <v>29</v>
      </c>
      <c r="J131" s="1"/>
      <c r="K131" s="3">
        <v>208390</v>
      </c>
      <c r="L131" s="3">
        <v>201455</v>
      </c>
      <c r="M131" s="1"/>
      <c r="N131" s="3" t="s">
        <v>1212</v>
      </c>
      <c r="O131" s="4">
        <v>43683</v>
      </c>
      <c r="P131" s="4">
        <v>45509</v>
      </c>
      <c r="Q131" s="3" t="s">
        <v>1213</v>
      </c>
      <c r="R131" s="4">
        <v>43683</v>
      </c>
      <c r="S131" s="4">
        <v>45509</v>
      </c>
      <c r="T131" s="3" t="s">
        <v>1214</v>
      </c>
      <c r="U131" s="3" t="s">
        <v>1215</v>
      </c>
    </row>
    <row r="132" spans="1:21" x14ac:dyDescent="0.3">
      <c r="A132" s="3" t="s">
        <v>1216</v>
      </c>
      <c r="B132" s="3" t="s">
        <v>23</v>
      </c>
      <c r="C132" s="3" t="s">
        <v>1217</v>
      </c>
      <c r="D132" s="3" t="s">
        <v>1218</v>
      </c>
      <c r="E132" s="3" t="s">
        <v>1219</v>
      </c>
      <c r="F132" s="3" t="s">
        <v>1220</v>
      </c>
      <c r="G132" s="3" t="s">
        <v>626</v>
      </c>
      <c r="H132" s="3">
        <v>673121</v>
      </c>
      <c r="I132" s="3" t="s">
        <v>29</v>
      </c>
      <c r="J132" s="1"/>
      <c r="K132" s="1"/>
      <c r="L132" s="1"/>
      <c r="M132" s="1"/>
      <c r="N132" s="3" t="s">
        <v>1221</v>
      </c>
      <c r="O132" s="1"/>
      <c r="P132" s="1"/>
      <c r="Q132" s="3" t="s">
        <v>1222</v>
      </c>
      <c r="R132" s="1"/>
      <c r="S132" s="1"/>
      <c r="T132" s="1"/>
      <c r="U132" s="3" t="s">
        <v>1223</v>
      </c>
    </row>
    <row r="133" spans="1:21" x14ac:dyDescent="0.3">
      <c r="A133" s="3" t="s">
        <v>1224</v>
      </c>
      <c r="B133" s="3" t="s">
        <v>23</v>
      </c>
      <c r="C133" s="3" t="s">
        <v>1225</v>
      </c>
      <c r="D133" s="3" t="s">
        <v>1226</v>
      </c>
      <c r="E133" s="3" t="s">
        <v>1227</v>
      </c>
      <c r="F133" s="3" t="s">
        <v>1228</v>
      </c>
      <c r="G133" s="3" t="s">
        <v>68</v>
      </c>
      <c r="H133" s="3">
        <v>691001</v>
      </c>
      <c r="I133" s="3" t="s">
        <v>29</v>
      </c>
      <c r="J133" s="3" t="s">
        <v>1229</v>
      </c>
      <c r="K133" s="3">
        <v>4742768499</v>
      </c>
      <c r="L133" s="3">
        <v>4742760355</v>
      </c>
      <c r="M133" s="3">
        <v>9447730820</v>
      </c>
      <c r="N133" s="3" t="s">
        <v>1230</v>
      </c>
      <c r="O133" s="4">
        <v>43282</v>
      </c>
      <c r="P133" s="4">
        <v>45110</v>
      </c>
      <c r="Q133" s="3" t="s">
        <v>1231</v>
      </c>
      <c r="R133" s="4">
        <v>43282</v>
      </c>
      <c r="S133" s="4">
        <v>45110</v>
      </c>
      <c r="T133" s="3" t="s">
        <v>1232</v>
      </c>
      <c r="U133" s="3" t="s">
        <v>1233</v>
      </c>
    </row>
    <row r="134" spans="1:21" x14ac:dyDescent="0.3">
      <c r="A134" s="3" t="s">
        <v>1234</v>
      </c>
      <c r="B134" s="3" t="s">
        <v>23</v>
      </c>
      <c r="C134" s="3" t="s">
        <v>1235</v>
      </c>
      <c r="D134" s="3" t="s">
        <v>1236</v>
      </c>
      <c r="E134" s="3" t="s">
        <v>1237</v>
      </c>
      <c r="F134" s="3" t="s">
        <v>1238</v>
      </c>
      <c r="G134" s="3" t="s">
        <v>28</v>
      </c>
      <c r="H134" s="3">
        <v>695034</v>
      </c>
      <c r="I134" s="3" t="s">
        <v>29</v>
      </c>
      <c r="J134" s="1"/>
      <c r="K134" s="3" t="s">
        <v>1239</v>
      </c>
      <c r="L134" s="3">
        <v>9447783038</v>
      </c>
      <c r="M134" s="3">
        <v>8281928038</v>
      </c>
      <c r="N134" s="3" t="s">
        <v>1240</v>
      </c>
      <c r="O134" s="4">
        <v>45295</v>
      </c>
      <c r="P134" s="4">
        <v>47121</v>
      </c>
      <c r="Q134" s="3" t="s">
        <v>1241</v>
      </c>
      <c r="R134" s="4">
        <v>45295</v>
      </c>
      <c r="S134" s="4">
        <v>47121</v>
      </c>
      <c r="T134" s="3" t="s">
        <v>1242</v>
      </c>
      <c r="U134" s="3" t="s">
        <v>1243</v>
      </c>
    </row>
    <row r="135" spans="1:21" x14ac:dyDescent="0.3">
      <c r="A135" s="3" t="s">
        <v>1244</v>
      </c>
      <c r="B135" s="3" t="s">
        <v>23</v>
      </c>
      <c r="C135" s="3" t="s">
        <v>1245</v>
      </c>
      <c r="D135" s="3" t="s">
        <v>1246</v>
      </c>
      <c r="E135" s="3" t="s">
        <v>1247</v>
      </c>
      <c r="F135" s="3" t="s">
        <v>1248</v>
      </c>
      <c r="G135" s="3" t="s">
        <v>147</v>
      </c>
      <c r="H135" s="3">
        <v>670101</v>
      </c>
      <c r="I135" s="3" t="s">
        <v>29</v>
      </c>
      <c r="J135" s="1"/>
      <c r="K135" s="3" t="s">
        <v>1249</v>
      </c>
      <c r="L135" s="3">
        <v>2320295</v>
      </c>
      <c r="M135" s="1"/>
      <c r="N135" s="3" t="s">
        <v>1250</v>
      </c>
      <c r="O135" s="4">
        <v>43252</v>
      </c>
      <c r="P135" s="4">
        <v>45092</v>
      </c>
      <c r="Q135" s="3" t="s">
        <v>1251</v>
      </c>
      <c r="R135" s="4">
        <v>43252</v>
      </c>
      <c r="S135" s="4">
        <v>45092</v>
      </c>
      <c r="T135" s="3" t="s">
        <v>1252</v>
      </c>
      <c r="U135" s="3" t="s">
        <v>1253</v>
      </c>
    </row>
    <row r="136" spans="1:21" x14ac:dyDescent="0.3">
      <c r="A136" s="3" t="s">
        <v>1254</v>
      </c>
      <c r="B136" s="3" t="s">
        <v>23</v>
      </c>
      <c r="C136" s="3" t="s">
        <v>1255</v>
      </c>
      <c r="D136" s="3" t="s">
        <v>1256</v>
      </c>
      <c r="E136" s="3" t="s">
        <v>1257</v>
      </c>
      <c r="F136" s="3" t="s">
        <v>1258</v>
      </c>
      <c r="G136" s="3" t="s">
        <v>213</v>
      </c>
      <c r="H136" s="3">
        <v>673002</v>
      </c>
      <c r="I136" s="3" t="s">
        <v>29</v>
      </c>
      <c r="J136" s="1"/>
      <c r="K136" s="3" t="s">
        <v>1259</v>
      </c>
      <c r="L136" s="3" t="s">
        <v>1260</v>
      </c>
      <c r="M136" s="3">
        <v>9809666222</v>
      </c>
      <c r="N136" s="3" t="s">
        <v>1261</v>
      </c>
      <c r="O136" s="1"/>
      <c r="P136" s="1"/>
      <c r="Q136" s="3" t="s">
        <v>1262</v>
      </c>
      <c r="R136" s="1"/>
      <c r="S136" s="1"/>
      <c r="T136" s="1"/>
      <c r="U136" s="1"/>
    </row>
    <row r="137" spans="1:21" x14ac:dyDescent="0.3">
      <c r="A137" s="3" t="s">
        <v>1263</v>
      </c>
      <c r="B137" s="3" t="s">
        <v>23</v>
      </c>
      <c r="C137" s="3" t="s">
        <v>1264</v>
      </c>
      <c r="D137" s="3" t="s">
        <v>1265</v>
      </c>
      <c r="E137" s="3" t="s">
        <v>1266</v>
      </c>
      <c r="F137" s="3" t="s">
        <v>1267</v>
      </c>
      <c r="G137" s="3" t="s">
        <v>124</v>
      </c>
      <c r="H137" s="3">
        <v>686001</v>
      </c>
      <c r="I137" s="3" t="s">
        <v>29</v>
      </c>
      <c r="J137" s="1"/>
      <c r="K137" s="3" t="s">
        <v>1268</v>
      </c>
      <c r="L137" s="3" t="s">
        <v>1269</v>
      </c>
      <c r="M137" s="3">
        <v>9562057422</v>
      </c>
      <c r="N137" s="3" t="s">
        <v>1270</v>
      </c>
      <c r="O137" s="4">
        <v>45222</v>
      </c>
      <c r="P137" s="4">
        <v>47048</v>
      </c>
      <c r="Q137" s="3" t="s">
        <v>1271</v>
      </c>
      <c r="R137" s="4">
        <v>45222</v>
      </c>
      <c r="S137" s="4">
        <v>47048</v>
      </c>
      <c r="T137" s="3" t="s">
        <v>1272</v>
      </c>
      <c r="U137" s="3" t="s">
        <v>1273</v>
      </c>
    </row>
    <row r="138" spans="1:21" x14ac:dyDescent="0.3">
      <c r="A138" s="3" t="s">
        <v>1274</v>
      </c>
      <c r="B138" s="3" t="s">
        <v>23</v>
      </c>
      <c r="C138" s="3" t="s">
        <v>1275</v>
      </c>
      <c r="D138" s="3" t="s">
        <v>1276</v>
      </c>
      <c r="E138" s="3" t="s">
        <v>1277</v>
      </c>
      <c r="F138" s="3" t="s">
        <v>1278</v>
      </c>
      <c r="G138" s="3" t="s">
        <v>117</v>
      </c>
      <c r="H138" s="3">
        <v>679322</v>
      </c>
      <c r="I138" s="3" t="s">
        <v>29</v>
      </c>
      <c r="J138" s="1"/>
      <c r="K138" s="3" t="s">
        <v>1279</v>
      </c>
      <c r="L138" s="3" t="s">
        <v>1280</v>
      </c>
      <c r="M138" s="1"/>
      <c r="N138" s="3" t="s">
        <v>1281</v>
      </c>
      <c r="O138" s="1"/>
      <c r="P138" s="1"/>
      <c r="Q138" s="3" t="s">
        <v>1282</v>
      </c>
      <c r="R138" s="1"/>
      <c r="S138" s="1"/>
      <c r="T138" s="3" t="s">
        <v>1283</v>
      </c>
      <c r="U138" s="3" t="s">
        <v>880</v>
      </c>
    </row>
    <row r="139" spans="1:21" x14ac:dyDescent="0.3">
      <c r="A139" s="3" t="s">
        <v>1284</v>
      </c>
      <c r="B139" s="3" t="s">
        <v>23</v>
      </c>
      <c r="C139" s="3" t="s">
        <v>1285</v>
      </c>
      <c r="D139" s="3" t="s">
        <v>1286</v>
      </c>
      <c r="E139" s="3" t="s">
        <v>1287</v>
      </c>
      <c r="F139" s="3" t="s">
        <v>1288</v>
      </c>
      <c r="G139" s="3" t="s">
        <v>937</v>
      </c>
      <c r="H139" s="3">
        <v>685584</v>
      </c>
      <c r="I139" s="3" t="s">
        <v>29</v>
      </c>
      <c r="J139" s="1"/>
      <c r="K139" s="3">
        <v>4862221358</v>
      </c>
      <c r="L139" s="1"/>
      <c r="M139" s="1"/>
      <c r="N139" s="3" t="s">
        <v>1289</v>
      </c>
      <c r="O139" s="4">
        <v>44314</v>
      </c>
      <c r="P139" s="4">
        <v>46139</v>
      </c>
      <c r="Q139" s="3" t="s">
        <v>1290</v>
      </c>
      <c r="R139" s="4">
        <v>44314</v>
      </c>
      <c r="S139" s="4">
        <v>46139</v>
      </c>
      <c r="T139" s="3" t="s">
        <v>1291</v>
      </c>
      <c r="U139" s="3" t="s">
        <v>1292</v>
      </c>
    </row>
    <row r="140" spans="1:21" x14ac:dyDescent="0.3">
      <c r="A140" s="3" t="s">
        <v>1293</v>
      </c>
      <c r="B140" s="3" t="s">
        <v>23</v>
      </c>
      <c r="C140" s="3" t="s">
        <v>1294</v>
      </c>
      <c r="D140" s="3" t="s">
        <v>1295</v>
      </c>
      <c r="E140" s="3" t="s">
        <v>1296</v>
      </c>
      <c r="F140" s="1"/>
      <c r="G140" s="3" t="s">
        <v>86</v>
      </c>
      <c r="H140" s="3">
        <v>679102</v>
      </c>
      <c r="I140" s="3" t="s">
        <v>29</v>
      </c>
      <c r="J140" s="1"/>
      <c r="K140" s="3" t="s">
        <v>1297</v>
      </c>
      <c r="L140" s="1"/>
      <c r="M140" s="1"/>
      <c r="N140" s="3" t="s">
        <v>1298</v>
      </c>
      <c r="O140" s="1"/>
      <c r="P140" s="1"/>
      <c r="Q140" s="3" t="s">
        <v>1298</v>
      </c>
      <c r="R140" s="1"/>
      <c r="S140" s="1"/>
      <c r="T140" s="3" t="s">
        <v>1299</v>
      </c>
      <c r="U140" s="3" t="s">
        <v>1300</v>
      </c>
    </row>
    <row r="141" spans="1:21" x14ac:dyDescent="0.3">
      <c r="A141" s="3" t="s">
        <v>1301</v>
      </c>
      <c r="B141" s="3" t="s">
        <v>23</v>
      </c>
      <c r="C141" s="3" t="s">
        <v>1302</v>
      </c>
      <c r="D141" s="3" t="s">
        <v>1303</v>
      </c>
      <c r="E141" s="3" t="s">
        <v>1304</v>
      </c>
      <c r="F141" s="3" t="s">
        <v>28</v>
      </c>
      <c r="G141" s="3" t="s">
        <v>28</v>
      </c>
      <c r="H141" s="3">
        <v>695001</v>
      </c>
      <c r="I141" s="3" t="s">
        <v>29</v>
      </c>
      <c r="J141" s="1"/>
      <c r="K141" s="3">
        <v>7994758745</v>
      </c>
      <c r="L141" s="3">
        <v>7994758744</v>
      </c>
      <c r="M141" s="1"/>
      <c r="N141" s="3" t="s">
        <v>1305</v>
      </c>
      <c r="O141" s="1"/>
      <c r="P141" s="1"/>
      <c r="Q141" s="3" t="s">
        <v>1306</v>
      </c>
      <c r="R141" s="1"/>
      <c r="S141" s="1"/>
      <c r="T141" s="3" t="s">
        <v>1307</v>
      </c>
      <c r="U141" s="3" t="s">
        <v>1308</v>
      </c>
    </row>
    <row r="142" spans="1:21" x14ac:dyDescent="0.3">
      <c r="A142" s="3" t="s">
        <v>1309</v>
      </c>
      <c r="B142" s="3" t="s">
        <v>23</v>
      </c>
      <c r="C142" s="3" t="s">
        <v>1310</v>
      </c>
      <c r="D142" s="3" t="s">
        <v>1311</v>
      </c>
      <c r="E142" s="3" t="s">
        <v>1312</v>
      </c>
      <c r="F142" s="3" t="s">
        <v>1313</v>
      </c>
      <c r="G142" s="3" t="s">
        <v>589</v>
      </c>
      <c r="H142" s="3">
        <v>676503</v>
      </c>
      <c r="I142" s="3" t="s">
        <v>29</v>
      </c>
      <c r="J142" s="1"/>
      <c r="K142" s="3">
        <v>4832742241</v>
      </c>
      <c r="L142" s="3">
        <v>9447255500</v>
      </c>
      <c r="M142" s="3">
        <v>9544290190</v>
      </c>
      <c r="N142" s="3" t="s">
        <v>1314</v>
      </c>
      <c r="O142" s="4">
        <v>44515</v>
      </c>
      <c r="P142" s="4">
        <v>46340</v>
      </c>
      <c r="Q142" s="3" t="s">
        <v>1315</v>
      </c>
      <c r="R142" s="4">
        <v>44515</v>
      </c>
      <c r="S142" s="4">
        <v>46340</v>
      </c>
      <c r="T142" s="3" t="s">
        <v>1316</v>
      </c>
      <c r="U142" s="3" t="s">
        <v>1317</v>
      </c>
    </row>
    <row r="143" spans="1:21" x14ac:dyDescent="0.3">
      <c r="A143" s="3" t="s">
        <v>1318</v>
      </c>
      <c r="B143" s="3" t="s">
        <v>23</v>
      </c>
      <c r="C143" s="3" t="s">
        <v>1319</v>
      </c>
      <c r="D143" s="3" t="s">
        <v>1320</v>
      </c>
      <c r="E143" s="3" t="s">
        <v>1321</v>
      </c>
      <c r="F143" s="3" t="s">
        <v>1322</v>
      </c>
      <c r="G143" s="3" t="s">
        <v>28</v>
      </c>
      <c r="H143" s="3">
        <v>695001</v>
      </c>
      <c r="I143" s="3" t="s">
        <v>29</v>
      </c>
      <c r="J143" s="1"/>
      <c r="K143" s="3">
        <v>4712471776</v>
      </c>
      <c r="L143" s="3">
        <v>2572404</v>
      </c>
      <c r="M143" s="1"/>
      <c r="N143" s="3" t="s">
        <v>1323</v>
      </c>
      <c r="O143" s="1"/>
      <c r="P143" s="1"/>
      <c r="Q143" s="3" t="s">
        <v>1324</v>
      </c>
      <c r="R143" s="1"/>
      <c r="S143" s="1"/>
      <c r="T143" s="3" t="s">
        <v>1325</v>
      </c>
      <c r="U143" s="3" t="s">
        <v>1326</v>
      </c>
    </row>
    <row r="144" spans="1:21" x14ac:dyDescent="0.3">
      <c r="A144" s="3" t="s">
        <v>1327</v>
      </c>
      <c r="B144" s="3" t="s">
        <v>23</v>
      </c>
      <c r="C144" s="3" t="s">
        <v>1328</v>
      </c>
      <c r="D144" s="3" t="s">
        <v>1329</v>
      </c>
      <c r="E144" s="3" t="s">
        <v>1330</v>
      </c>
      <c r="F144" s="3" t="s">
        <v>1331</v>
      </c>
      <c r="G144" s="3" t="s">
        <v>1087</v>
      </c>
      <c r="H144" s="3">
        <v>670307</v>
      </c>
      <c r="I144" s="3" t="s">
        <v>29</v>
      </c>
      <c r="J144" s="1"/>
      <c r="K144" s="3">
        <v>4985205338</v>
      </c>
      <c r="L144" s="3">
        <v>4985350290</v>
      </c>
      <c r="M144" s="3">
        <v>7909207275</v>
      </c>
      <c r="N144" s="3" t="s">
        <v>1332</v>
      </c>
      <c r="O144" s="1"/>
      <c r="P144" s="4">
        <v>47430</v>
      </c>
      <c r="Q144" s="3" t="s">
        <v>1333</v>
      </c>
      <c r="R144" s="1"/>
      <c r="S144" s="4">
        <v>47430</v>
      </c>
      <c r="T144" s="3" t="s">
        <v>1334</v>
      </c>
      <c r="U144" s="3" t="s">
        <v>1335</v>
      </c>
    </row>
    <row r="145" spans="1:21" x14ac:dyDescent="0.3">
      <c r="A145" s="3" t="s">
        <v>1336</v>
      </c>
      <c r="B145" s="3" t="s">
        <v>23</v>
      </c>
      <c r="C145" s="3" t="s">
        <v>1337</v>
      </c>
      <c r="D145" s="3" t="s">
        <v>1338</v>
      </c>
      <c r="E145" s="3" t="s">
        <v>1339</v>
      </c>
      <c r="F145" s="3" t="s">
        <v>1340</v>
      </c>
      <c r="G145" s="3" t="s">
        <v>213</v>
      </c>
      <c r="H145" s="3">
        <v>673004</v>
      </c>
      <c r="I145" s="3" t="s">
        <v>29</v>
      </c>
      <c r="J145" s="1"/>
      <c r="K145" s="1"/>
      <c r="L145" s="1"/>
      <c r="M145" s="1"/>
      <c r="N145" s="3" t="s">
        <v>1341</v>
      </c>
      <c r="O145" s="1"/>
      <c r="P145" s="1"/>
      <c r="Q145" s="3" t="s">
        <v>1342</v>
      </c>
      <c r="R145" s="1"/>
      <c r="S145" s="1"/>
      <c r="T145" s="3" t="s">
        <v>1343</v>
      </c>
      <c r="U145" s="3" t="s">
        <v>1344</v>
      </c>
    </row>
    <row r="146" spans="1:21" x14ac:dyDescent="0.3">
      <c r="A146" s="3" t="s">
        <v>1345</v>
      </c>
      <c r="B146" s="3" t="s">
        <v>23</v>
      </c>
      <c r="C146" s="3" t="s">
        <v>1346</v>
      </c>
      <c r="D146" s="3" t="s">
        <v>1347</v>
      </c>
      <c r="E146" s="3" t="s">
        <v>1348</v>
      </c>
      <c r="F146" s="1"/>
      <c r="G146" s="3" t="s">
        <v>28</v>
      </c>
      <c r="H146" s="3">
        <v>695035</v>
      </c>
      <c r="I146" s="3" t="s">
        <v>29</v>
      </c>
      <c r="J146" s="1"/>
      <c r="K146" s="1"/>
      <c r="L146" s="1"/>
      <c r="M146" s="1"/>
      <c r="N146" s="3" t="s">
        <v>1151</v>
      </c>
      <c r="O146" s="1"/>
      <c r="P146" s="4">
        <v>45646</v>
      </c>
      <c r="Q146" s="3" t="s">
        <v>1152</v>
      </c>
      <c r="R146" s="1"/>
      <c r="S146" s="4">
        <v>45646</v>
      </c>
      <c r="T146" s="3" t="s">
        <v>1349</v>
      </c>
      <c r="U146" s="3" t="s">
        <v>1153</v>
      </c>
    </row>
    <row r="147" spans="1:21" x14ac:dyDescent="0.3">
      <c r="A147" s="3" t="s">
        <v>1350</v>
      </c>
      <c r="B147" s="3" t="s">
        <v>23</v>
      </c>
      <c r="C147" s="3" t="s">
        <v>1351</v>
      </c>
      <c r="D147" s="3" t="s">
        <v>1352</v>
      </c>
      <c r="E147" s="3" t="s">
        <v>1353</v>
      </c>
      <c r="F147" s="1"/>
      <c r="G147" s="3" t="s">
        <v>78</v>
      </c>
      <c r="H147" s="3">
        <v>676121</v>
      </c>
      <c r="I147" s="3" t="s">
        <v>29</v>
      </c>
      <c r="J147" s="1"/>
      <c r="K147" s="1"/>
      <c r="L147" s="1"/>
      <c r="M147" s="1"/>
      <c r="N147" s="3" t="s">
        <v>1354</v>
      </c>
      <c r="O147" s="1"/>
      <c r="P147" s="4">
        <v>47634</v>
      </c>
      <c r="Q147" s="3" t="s">
        <v>1355</v>
      </c>
      <c r="R147" s="1"/>
      <c r="S147" s="4">
        <v>47634</v>
      </c>
      <c r="T147" s="3" t="s">
        <v>1356</v>
      </c>
      <c r="U147" s="3" t="s">
        <v>1357</v>
      </c>
    </row>
    <row r="148" spans="1:21" x14ac:dyDescent="0.3">
      <c r="A148" s="3" t="s">
        <v>1358</v>
      </c>
      <c r="B148" s="3" t="s">
        <v>23</v>
      </c>
      <c r="C148" s="3" t="s">
        <v>1359</v>
      </c>
      <c r="D148" s="3" t="s">
        <v>1360</v>
      </c>
      <c r="E148" s="3" t="s">
        <v>1361</v>
      </c>
      <c r="F148" s="3" t="s">
        <v>1362</v>
      </c>
      <c r="G148" s="3" t="s">
        <v>125</v>
      </c>
      <c r="H148" s="3">
        <v>673004</v>
      </c>
      <c r="I148" s="3" t="s">
        <v>29</v>
      </c>
      <c r="J148" s="1"/>
      <c r="K148" s="1"/>
      <c r="L148" s="1"/>
      <c r="M148" s="1"/>
      <c r="N148" s="3" t="s">
        <v>1363</v>
      </c>
      <c r="O148" s="1"/>
      <c r="P148" s="4">
        <v>47573</v>
      </c>
      <c r="Q148" s="3" t="s">
        <v>1364</v>
      </c>
      <c r="R148" s="1"/>
      <c r="S148" s="4">
        <v>47573</v>
      </c>
      <c r="T148" s="3" t="s">
        <v>1365</v>
      </c>
      <c r="U148" s="3" t="s">
        <v>1366</v>
      </c>
    </row>
    <row r="149" spans="1:21" x14ac:dyDescent="0.3">
      <c r="A149" s="3" t="s">
        <v>1367</v>
      </c>
      <c r="B149" s="3" t="s">
        <v>23</v>
      </c>
      <c r="C149" s="3" t="s">
        <v>1368</v>
      </c>
      <c r="D149" s="3" t="s">
        <v>1369</v>
      </c>
      <c r="E149" s="3" t="s">
        <v>1370</v>
      </c>
      <c r="F149" s="3" t="s">
        <v>1371</v>
      </c>
      <c r="G149" s="3" t="s">
        <v>310</v>
      </c>
      <c r="H149" s="3">
        <v>670001</v>
      </c>
      <c r="I149" s="3" t="s">
        <v>29</v>
      </c>
      <c r="J149" s="1"/>
      <c r="K149" s="1"/>
      <c r="L149" s="1"/>
      <c r="M149" s="1"/>
      <c r="N149" s="3" t="s">
        <v>1372</v>
      </c>
      <c r="O149" s="4">
        <v>44879</v>
      </c>
      <c r="P149" s="4">
        <v>46704</v>
      </c>
      <c r="Q149" s="3" t="s">
        <v>1373</v>
      </c>
      <c r="R149" s="4">
        <v>44879</v>
      </c>
      <c r="S149" s="4">
        <v>46704</v>
      </c>
      <c r="T149" s="3" t="s">
        <v>1374</v>
      </c>
      <c r="U149" s="3" t="s">
        <v>1375</v>
      </c>
    </row>
    <row r="150" spans="1:21" x14ac:dyDescent="0.3">
      <c r="A150" s="3" t="s">
        <v>1376</v>
      </c>
      <c r="B150" s="3" t="s">
        <v>23</v>
      </c>
      <c r="C150" s="3" t="s">
        <v>1377</v>
      </c>
      <c r="D150" s="3" t="s">
        <v>387</v>
      </c>
      <c r="E150" s="3" t="s">
        <v>310</v>
      </c>
      <c r="F150" s="3" t="s">
        <v>1378</v>
      </c>
      <c r="G150" s="3" t="s">
        <v>310</v>
      </c>
      <c r="H150" s="3">
        <v>670001</v>
      </c>
      <c r="I150" s="3" t="s">
        <v>29</v>
      </c>
      <c r="J150" s="1"/>
      <c r="K150" s="1"/>
      <c r="L150" s="1"/>
      <c r="M150" s="1"/>
      <c r="N150" s="3" t="s">
        <v>1379</v>
      </c>
      <c r="O150" s="4">
        <v>45981</v>
      </c>
      <c r="P150" s="4">
        <v>47722</v>
      </c>
      <c r="Q150" s="3" t="s">
        <v>1380</v>
      </c>
      <c r="R150" s="4">
        <v>45981</v>
      </c>
      <c r="S150" s="4">
        <v>47722</v>
      </c>
      <c r="T150" s="3" t="s">
        <v>1381</v>
      </c>
      <c r="U150" s="3" t="s">
        <v>1382</v>
      </c>
    </row>
    <row r="151" spans="1:21" x14ac:dyDescent="0.3">
      <c r="A151" s="3" t="s">
        <v>1383</v>
      </c>
      <c r="B151" s="3" t="s">
        <v>23</v>
      </c>
      <c r="C151" s="3" t="s">
        <v>1384</v>
      </c>
      <c r="D151" s="3" t="s">
        <v>1385</v>
      </c>
      <c r="E151" s="3" t="s">
        <v>1386</v>
      </c>
      <c r="F151" s="3" t="s">
        <v>1387</v>
      </c>
      <c r="G151" s="3" t="s">
        <v>140</v>
      </c>
      <c r="H151" s="3">
        <v>671121</v>
      </c>
      <c r="I151" s="3" t="s">
        <v>29</v>
      </c>
      <c r="J151" s="1"/>
      <c r="K151" s="1"/>
      <c r="L151" s="1"/>
      <c r="M151" s="1"/>
      <c r="N151" s="3" t="s">
        <v>1388</v>
      </c>
      <c r="O151" s="4">
        <v>45701</v>
      </c>
      <c r="P151" s="4">
        <v>47507</v>
      </c>
      <c r="Q151" s="3" t="s">
        <v>1389</v>
      </c>
      <c r="R151" s="4">
        <v>45701</v>
      </c>
      <c r="S151" s="4">
        <v>47507</v>
      </c>
      <c r="T151" s="3" t="s">
        <v>1390</v>
      </c>
      <c r="U151" s="3" t="s">
        <v>1391</v>
      </c>
    </row>
    <row r="152" spans="1:21" x14ac:dyDescent="0.3">
      <c r="A152" s="3" t="s">
        <v>1392</v>
      </c>
      <c r="B152" s="3" t="s">
        <v>23</v>
      </c>
      <c r="C152" s="3" t="s">
        <v>1393</v>
      </c>
      <c r="D152" s="3" t="s">
        <v>1394</v>
      </c>
      <c r="E152" s="3" t="s">
        <v>1395</v>
      </c>
      <c r="F152" s="3" t="s">
        <v>1396</v>
      </c>
      <c r="G152" s="3" t="s">
        <v>204</v>
      </c>
      <c r="H152" s="3">
        <v>680001</v>
      </c>
      <c r="I152" s="3" t="s">
        <v>29</v>
      </c>
      <c r="J152" s="1"/>
      <c r="K152" s="1"/>
      <c r="L152" s="1"/>
      <c r="M152" s="1"/>
      <c r="N152" s="3" t="s">
        <v>1397</v>
      </c>
      <c r="O152" s="1"/>
      <c r="P152" s="4">
        <v>45747</v>
      </c>
      <c r="Q152" s="3" t="s">
        <v>1398</v>
      </c>
      <c r="R152" s="1"/>
      <c r="S152" s="4">
        <v>45747</v>
      </c>
      <c r="T152" s="3" t="s">
        <v>1399</v>
      </c>
      <c r="U152" s="3" t="s">
        <v>1400</v>
      </c>
    </row>
    <row r="153" spans="1:21" x14ac:dyDescent="0.3">
      <c r="A153" s="3" t="s">
        <v>1401</v>
      </c>
      <c r="B153" s="3" t="s">
        <v>23</v>
      </c>
      <c r="C153" s="3" t="s">
        <v>1402</v>
      </c>
      <c r="D153" s="3" t="s">
        <v>1403</v>
      </c>
      <c r="E153" s="3" t="s">
        <v>296</v>
      </c>
      <c r="F153" s="3" t="s">
        <v>1404</v>
      </c>
      <c r="G153" s="3" t="s">
        <v>296</v>
      </c>
      <c r="H153" s="3">
        <v>680503</v>
      </c>
      <c r="I153" s="3" t="s">
        <v>29</v>
      </c>
      <c r="J153" s="1"/>
      <c r="K153" s="1"/>
      <c r="L153" s="1"/>
      <c r="M153" s="1"/>
      <c r="N153" s="3" t="s">
        <v>1405</v>
      </c>
      <c r="O153" s="1"/>
      <c r="P153" s="4">
        <v>47603</v>
      </c>
      <c r="Q153" s="3" t="s">
        <v>1406</v>
      </c>
      <c r="R153" s="1"/>
      <c r="S153" s="4">
        <v>47603</v>
      </c>
      <c r="T153" s="3" t="s">
        <v>1407</v>
      </c>
      <c r="U153" s="3" t="s">
        <v>1408</v>
      </c>
    </row>
    <row r="154" spans="1:21" x14ac:dyDescent="0.3">
      <c r="A154" s="3" t="s">
        <v>1409</v>
      </c>
      <c r="B154" s="3" t="s">
        <v>23</v>
      </c>
      <c r="C154" s="3" t="s">
        <v>1410</v>
      </c>
      <c r="D154" s="3" t="s">
        <v>1411</v>
      </c>
      <c r="E154" s="3" t="s">
        <v>1412</v>
      </c>
      <c r="F154" s="3" t="s">
        <v>1413</v>
      </c>
      <c r="G154" s="3" t="s">
        <v>147</v>
      </c>
      <c r="H154" s="3">
        <v>670101</v>
      </c>
      <c r="I154" s="3" t="s">
        <v>29</v>
      </c>
      <c r="J154" s="1"/>
      <c r="K154" s="1"/>
      <c r="L154" s="1"/>
      <c r="M154" s="1"/>
      <c r="N154" s="3" t="s">
        <v>1414</v>
      </c>
      <c r="O154" s="4">
        <v>45017</v>
      </c>
      <c r="P154" s="4">
        <v>46843</v>
      </c>
      <c r="Q154" s="3" t="s">
        <v>1415</v>
      </c>
      <c r="R154" s="4">
        <v>45017</v>
      </c>
      <c r="S154" s="4">
        <v>46843</v>
      </c>
      <c r="T154" s="3" t="s">
        <v>1416</v>
      </c>
      <c r="U154" s="3" t="s">
        <v>1417</v>
      </c>
    </row>
    <row r="155" spans="1:21" x14ac:dyDescent="0.3">
      <c r="A155" s="3" t="s">
        <v>1418</v>
      </c>
      <c r="B155" s="3" t="s">
        <v>23</v>
      </c>
      <c r="C155" s="3" t="s">
        <v>1419</v>
      </c>
      <c r="D155" s="3" t="s">
        <v>1420</v>
      </c>
      <c r="E155" s="3" t="s">
        <v>1421</v>
      </c>
      <c r="F155" s="3" t="s">
        <v>1422</v>
      </c>
      <c r="G155" s="3" t="s">
        <v>204</v>
      </c>
      <c r="H155" s="3">
        <v>680001</v>
      </c>
      <c r="I155" s="3" t="s">
        <v>29</v>
      </c>
      <c r="J155" s="1"/>
      <c r="K155" s="3">
        <v>4872322825</v>
      </c>
      <c r="L155" s="1"/>
      <c r="M155" s="3">
        <v>8714116007</v>
      </c>
      <c r="N155" s="3" t="s">
        <v>1423</v>
      </c>
      <c r="O155" s="1"/>
      <c r="P155" s="4">
        <v>44651</v>
      </c>
      <c r="Q155" s="3" t="s">
        <v>1424</v>
      </c>
      <c r="R155" s="1"/>
      <c r="S155" s="4">
        <v>44651</v>
      </c>
      <c r="T155" s="3" t="s">
        <v>1425</v>
      </c>
      <c r="U155" s="3" t="s">
        <v>1426</v>
      </c>
    </row>
    <row r="156" spans="1:21" x14ac:dyDescent="0.3">
      <c r="A156" s="3" t="s">
        <v>1427</v>
      </c>
      <c r="B156" s="3" t="s">
        <v>23</v>
      </c>
      <c r="C156" s="3" t="s">
        <v>1368</v>
      </c>
      <c r="D156" s="3" t="s">
        <v>1428</v>
      </c>
      <c r="E156" s="3" t="s">
        <v>1429</v>
      </c>
      <c r="F156" s="3" t="s">
        <v>1430</v>
      </c>
      <c r="G156" s="3" t="s">
        <v>147</v>
      </c>
      <c r="H156" s="3">
        <v>670101</v>
      </c>
      <c r="I156" s="3" t="s">
        <v>29</v>
      </c>
      <c r="J156" s="3" t="s">
        <v>1431</v>
      </c>
      <c r="K156" s="3" t="s">
        <v>1432</v>
      </c>
      <c r="L156" s="3">
        <v>9895904106</v>
      </c>
      <c r="M156" s="3">
        <v>9847053965</v>
      </c>
      <c r="N156" s="3" t="s">
        <v>1433</v>
      </c>
      <c r="O156" s="4">
        <v>44879</v>
      </c>
      <c r="P156" s="4">
        <v>46704</v>
      </c>
      <c r="Q156" s="3" t="s">
        <v>1434</v>
      </c>
      <c r="R156" s="4">
        <v>44879</v>
      </c>
      <c r="S156" s="4">
        <v>46704</v>
      </c>
      <c r="T156" s="3" t="s">
        <v>1374</v>
      </c>
      <c r="U156" s="3" t="s">
        <v>1435</v>
      </c>
    </row>
    <row r="157" spans="1:21" x14ac:dyDescent="0.3">
      <c r="A157" s="3" t="s">
        <v>1436</v>
      </c>
      <c r="B157" s="3" t="s">
        <v>23</v>
      </c>
      <c r="C157" s="3" t="s">
        <v>1437</v>
      </c>
      <c r="D157" s="3" t="s">
        <v>1438</v>
      </c>
      <c r="E157" s="3" t="s">
        <v>1439</v>
      </c>
      <c r="F157" s="3" t="s">
        <v>1440</v>
      </c>
      <c r="G157" s="3" t="s">
        <v>28</v>
      </c>
      <c r="H157" s="3">
        <v>695011</v>
      </c>
      <c r="I157" s="3" t="s">
        <v>29</v>
      </c>
      <c r="J157" s="3" t="s">
        <v>1441</v>
      </c>
      <c r="K157" s="3" t="s">
        <v>1442</v>
      </c>
      <c r="L157" s="3">
        <v>4714060999</v>
      </c>
      <c r="M157" s="3">
        <v>9745555288</v>
      </c>
      <c r="N157" s="3" t="s">
        <v>1443</v>
      </c>
      <c r="O157" s="1"/>
      <c r="P157" s="1"/>
      <c r="Q157" s="3" t="s">
        <v>1444</v>
      </c>
      <c r="R157" s="1"/>
      <c r="S157" s="1"/>
      <c r="T157" s="3" t="s">
        <v>1445</v>
      </c>
      <c r="U157" s="3" t="s">
        <v>1446</v>
      </c>
    </row>
    <row r="158" spans="1:21" x14ac:dyDescent="0.3">
      <c r="A158" s="3" t="s">
        <v>1448</v>
      </c>
      <c r="B158" s="3" t="s">
        <v>23</v>
      </c>
      <c r="C158" s="3" t="s">
        <v>1449</v>
      </c>
      <c r="D158" s="3" t="s">
        <v>1450</v>
      </c>
      <c r="E158" s="3" t="s">
        <v>1451</v>
      </c>
      <c r="F158" s="3" t="s">
        <v>1452</v>
      </c>
      <c r="G158" s="3" t="s">
        <v>213</v>
      </c>
      <c r="H158" s="3">
        <v>673004</v>
      </c>
      <c r="I158" s="3" t="s">
        <v>29</v>
      </c>
      <c r="J158" s="3" t="s">
        <v>1453</v>
      </c>
      <c r="K158" s="3">
        <v>4952703976</v>
      </c>
      <c r="L158" s="3">
        <v>8111922168</v>
      </c>
      <c r="M158" s="3">
        <v>9447008877</v>
      </c>
      <c r="N158" s="3" t="s">
        <v>1454</v>
      </c>
      <c r="O158" s="4">
        <v>43922</v>
      </c>
      <c r="P158" s="4">
        <v>45747</v>
      </c>
      <c r="Q158" s="3" t="s">
        <v>1455</v>
      </c>
      <c r="R158" s="4">
        <v>43922</v>
      </c>
      <c r="S158" s="4">
        <v>45747</v>
      </c>
      <c r="T158" s="3" t="s">
        <v>1456</v>
      </c>
      <c r="U158" s="3" t="s">
        <v>1457</v>
      </c>
    </row>
    <row r="159" spans="1:21" x14ac:dyDescent="0.3">
      <c r="A159" s="3" t="s">
        <v>1458</v>
      </c>
      <c r="B159" s="3" t="s">
        <v>23</v>
      </c>
      <c r="C159" s="3" t="s">
        <v>1459</v>
      </c>
      <c r="D159" s="3" t="s">
        <v>1460</v>
      </c>
      <c r="E159" s="3" t="s">
        <v>1461</v>
      </c>
      <c r="F159" s="3" t="s">
        <v>1462</v>
      </c>
      <c r="G159" s="3" t="s">
        <v>232</v>
      </c>
      <c r="H159" s="3">
        <v>690101</v>
      </c>
      <c r="I159" s="3" t="s">
        <v>29</v>
      </c>
      <c r="J159" s="1"/>
      <c r="K159" s="3">
        <v>9447090165</v>
      </c>
      <c r="L159" s="3">
        <v>9947620978</v>
      </c>
      <c r="M159" s="1"/>
      <c r="N159" s="3" t="s">
        <v>1463</v>
      </c>
      <c r="O159" s="4">
        <v>44409</v>
      </c>
      <c r="P159" s="4">
        <v>46234</v>
      </c>
      <c r="Q159" s="3" t="s">
        <v>1464</v>
      </c>
      <c r="R159" s="4">
        <v>44409</v>
      </c>
      <c r="S159" s="4">
        <v>46234</v>
      </c>
      <c r="T159" s="3" t="s">
        <v>1465</v>
      </c>
      <c r="U159" s="3" t="s">
        <v>1466</v>
      </c>
    </row>
    <row r="160" spans="1:21" x14ac:dyDescent="0.3">
      <c r="A160" s="3" t="s">
        <v>1467</v>
      </c>
      <c r="B160" s="3" t="s">
        <v>23</v>
      </c>
      <c r="C160" s="3" t="s">
        <v>1468</v>
      </c>
      <c r="D160" s="3" t="s">
        <v>1469</v>
      </c>
      <c r="E160" s="3" t="s">
        <v>1470</v>
      </c>
      <c r="F160" s="1"/>
      <c r="G160" s="3" t="s">
        <v>705</v>
      </c>
      <c r="H160" s="3">
        <v>676101</v>
      </c>
      <c r="I160" s="3" t="s">
        <v>29</v>
      </c>
      <c r="J160" s="1"/>
      <c r="K160" s="3">
        <v>9846805441</v>
      </c>
      <c r="L160" s="3">
        <v>4982423857</v>
      </c>
      <c r="M160" s="1"/>
      <c r="N160" s="3" t="s">
        <v>1471</v>
      </c>
      <c r="O160" s="1"/>
      <c r="P160" s="1"/>
      <c r="Q160" s="3" t="s">
        <v>1472</v>
      </c>
      <c r="R160" s="1"/>
      <c r="S160" s="1"/>
      <c r="T160" s="3" t="s">
        <v>1473</v>
      </c>
      <c r="U160" s="3" t="s">
        <v>1474</v>
      </c>
    </row>
    <row r="161" spans="1:21" x14ac:dyDescent="0.3">
      <c r="A161" s="3" t="s">
        <v>1475</v>
      </c>
      <c r="B161" s="3" t="s">
        <v>23</v>
      </c>
      <c r="C161" s="3" t="s">
        <v>1476</v>
      </c>
      <c r="D161" s="3" t="s">
        <v>1477</v>
      </c>
      <c r="E161" s="3" t="s">
        <v>1478</v>
      </c>
      <c r="F161" s="3" t="s">
        <v>1479</v>
      </c>
      <c r="G161" s="3" t="s">
        <v>136</v>
      </c>
      <c r="H161" s="3">
        <v>680001</v>
      </c>
      <c r="I161" s="3" t="s">
        <v>29</v>
      </c>
      <c r="J161" s="1"/>
      <c r="K161" s="1"/>
      <c r="L161" s="1"/>
      <c r="M161" s="1"/>
      <c r="N161" s="3" t="s">
        <v>1480</v>
      </c>
      <c r="O161" s="1"/>
      <c r="P161" s="1"/>
      <c r="Q161" s="3" t="s">
        <v>1481</v>
      </c>
      <c r="R161" s="1"/>
      <c r="S161" s="1"/>
      <c r="T161" s="3" t="s">
        <v>1482</v>
      </c>
      <c r="U161" s="3" t="s">
        <v>1483</v>
      </c>
    </row>
    <row r="162" spans="1:21" x14ac:dyDescent="0.3">
      <c r="A162" s="3" t="s">
        <v>1484</v>
      </c>
      <c r="B162" s="3" t="s">
        <v>23</v>
      </c>
      <c r="C162" s="3" t="s">
        <v>1485</v>
      </c>
      <c r="D162" s="3" t="s">
        <v>1486</v>
      </c>
      <c r="E162" s="3" t="s">
        <v>1487</v>
      </c>
      <c r="F162" s="3" t="s">
        <v>1488</v>
      </c>
      <c r="G162" s="3" t="s">
        <v>937</v>
      </c>
      <c r="H162" s="3">
        <v>685585</v>
      </c>
      <c r="I162" s="3" t="s">
        <v>29</v>
      </c>
      <c r="J162" s="1"/>
      <c r="K162" s="1"/>
      <c r="L162" s="1"/>
      <c r="M162" s="1"/>
      <c r="N162" s="3" t="s">
        <v>1489</v>
      </c>
      <c r="O162" s="4">
        <v>45468</v>
      </c>
      <c r="P162" s="4">
        <v>47293</v>
      </c>
      <c r="Q162" s="3" t="s">
        <v>1490</v>
      </c>
      <c r="R162" s="4">
        <v>45468</v>
      </c>
      <c r="S162" s="4">
        <v>47293</v>
      </c>
      <c r="T162" s="3" t="s">
        <v>1491</v>
      </c>
      <c r="U162" s="3" t="s">
        <v>1492</v>
      </c>
    </row>
    <row r="163" spans="1:21" x14ac:dyDescent="0.3">
      <c r="A163" s="3" t="s">
        <v>1493</v>
      </c>
      <c r="B163" s="3" t="s">
        <v>23</v>
      </c>
      <c r="C163" s="3" t="s">
        <v>1494</v>
      </c>
      <c r="D163" s="3" t="s">
        <v>1495</v>
      </c>
      <c r="E163" s="3" t="s">
        <v>1496</v>
      </c>
      <c r="F163" s="3" t="s">
        <v>1497</v>
      </c>
      <c r="G163" s="3" t="s">
        <v>165</v>
      </c>
      <c r="H163" s="3">
        <v>683501</v>
      </c>
      <c r="I163" s="3" t="s">
        <v>29</v>
      </c>
      <c r="J163" s="1"/>
      <c r="K163" s="1"/>
      <c r="L163" s="1"/>
      <c r="M163" s="1"/>
      <c r="N163" s="3" t="s">
        <v>1498</v>
      </c>
      <c r="O163" s="1"/>
      <c r="P163" s="4">
        <v>47149</v>
      </c>
      <c r="Q163" s="3" t="s">
        <v>1499</v>
      </c>
      <c r="R163" s="1"/>
      <c r="S163" s="4">
        <v>47149</v>
      </c>
      <c r="T163" s="3" t="s">
        <v>1500</v>
      </c>
      <c r="U163" s="3" t="s">
        <v>1447</v>
      </c>
    </row>
    <row r="164" spans="1:21" x14ac:dyDescent="0.3">
      <c r="A164" s="3" t="s">
        <v>1501</v>
      </c>
      <c r="B164" s="3" t="s">
        <v>23</v>
      </c>
      <c r="C164" s="3" t="s">
        <v>1502</v>
      </c>
      <c r="D164" s="3" t="s">
        <v>1503</v>
      </c>
      <c r="E164" s="3" t="s">
        <v>1504</v>
      </c>
      <c r="F164" s="3" t="s">
        <v>1505</v>
      </c>
      <c r="G164" s="3" t="s">
        <v>136</v>
      </c>
      <c r="H164" s="3">
        <v>680022</v>
      </c>
      <c r="I164" s="3" t="s">
        <v>29</v>
      </c>
      <c r="J164" s="1"/>
      <c r="K164" s="3">
        <v>4872334741</v>
      </c>
      <c r="L164" s="3">
        <v>2339395</v>
      </c>
      <c r="M164" s="3">
        <v>9400964741</v>
      </c>
      <c r="N164" s="3" t="s">
        <v>1506</v>
      </c>
      <c r="O164" s="1"/>
      <c r="P164" s="4">
        <v>47345</v>
      </c>
      <c r="Q164" s="3" t="s">
        <v>1507</v>
      </c>
      <c r="R164" s="1"/>
      <c r="S164" s="4">
        <v>47345</v>
      </c>
      <c r="T164" s="3" t="s">
        <v>1508</v>
      </c>
      <c r="U164" s="3" t="s">
        <v>1509</v>
      </c>
    </row>
    <row r="165" spans="1:21" x14ac:dyDescent="0.3">
      <c r="A165" s="3" t="s">
        <v>1510</v>
      </c>
      <c r="B165" s="3" t="s">
        <v>23</v>
      </c>
      <c r="C165" s="3" t="s">
        <v>1511</v>
      </c>
      <c r="D165" s="3" t="s">
        <v>1512</v>
      </c>
      <c r="E165" s="3" t="s">
        <v>1513</v>
      </c>
      <c r="F165" s="3" t="s">
        <v>1514</v>
      </c>
      <c r="G165" s="3" t="s">
        <v>68</v>
      </c>
      <c r="H165" s="3">
        <v>691901</v>
      </c>
      <c r="I165" s="3" t="s">
        <v>29</v>
      </c>
      <c r="J165" s="1"/>
      <c r="K165" s="1"/>
      <c r="L165" s="1"/>
      <c r="M165" s="1"/>
      <c r="N165" s="3" t="s">
        <v>1515</v>
      </c>
      <c r="O165" s="1"/>
      <c r="P165" s="4">
        <v>46086</v>
      </c>
      <c r="Q165" s="3" t="s">
        <v>1516</v>
      </c>
      <c r="R165" s="1"/>
      <c r="S165" s="4">
        <v>46086</v>
      </c>
      <c r="T165" s="3" t="s">
        <v>1517</v>
      </c>
      <c r="U165" s="3" t="s">
        <v>1518</v>
      </c>
    </row>
    <row r="166" spans="1:21" x14ac:dyDescent="0.3">
      <c r="A166" s="3" t="s">
        <v>1519</v>
      </c>
      <c r="B166" s="3" t="s">
        <v>23</v>
      </c>
      <c r="C166" s="3" t="s">
        <v>1520</v>
      </c>
      <c r="D166" s="3" t="s">
        <v>1521</v>
      </c>
      <c r="E166" s="3" t="s">
        <v>1522</v>
      </c>
      <c r="F166" s="3" t="s">
        <v>1523</v>
      </c>
      <c r="G166" s="3" t="s">
        <v>204</v>
      </c>
      <c r="H166" s="3">
        <v>680001</v>
      </c>
      <c r="I166" s="3" t="s">
        <v>29</v>
      </c>
      <c r="J166" s="1"/>
      <c r="K166" s="3">
        <v>2426631</v>
      </c>
      <c r="L166" s="1"/>
      <c r="M166" s="1"/>
      <c r="N166" s="3" t="s">
        <v>1524</v>
      </c>
      <c r="O166" s="4">
        <v>43140</v>
      </c>
      <c r="P166" s="4">
        <v>44965</v>
      </c>
      <c r="Q166" s="3" t="s">
        <v>1525</v>
      </c>
      <c r="R166" s="4">
        <v>43140</v>
      </c>
      <c r="S166" s="4">
        <v>44965</v>
      </c>
      <c r="T166" s="3" t="s">
        <v>1526</v>
      </c>
      <c r="U166" s="3" t="s">
        <v>1527</v>
      </c>
    </row>
    <row r="167" spans="1:21" x14ac:dyDescent="0.3">
      <c r="A167" s="3" t="s">
        <v>1528</v>
      </c>
      <c r="B167" s="3" t="s">
        <v>23</v>
      </c>
      <c r="C167" s="3" t="s">
        <v>1529</v>
      </c>
      <c r="D167" s="3" t="s">
        <v>1530</v>
      </c>
      <c r="E167" s="3" t="s">
        <v>1531</v>
      </c>
      <c r="F167" s="3" t="s">
        <v>1532</v>
      </c>
      <c r="G167" s="3" t="s">
        <v>106</v>
      </c>
      <c r="H167" s="3">
        <v>671315</v>
      </c>
      <c r="I167" s="3" t="s">
        <v>29</v>
      </c>
      <c r="J167" s="1"/>
      <c r="K167" s="1"/>
      <c r="L167" s="1"/>
      <c r="M167" s="1"/>
      <c r="N167" s="3" t="s">
        <v>1533</v>
      </c>
      <c r="O167" s="4">
        <v>45974</v>
      </c>
      <c r="P167" s="4">
        <v>47770</v>
      </c>
      <c r="Q167" s="3" t="s">
        <v>1534</v>
      </c>
      <c r="R167" s="4">
        <v>45974</v>
      </c>
      <c r="S167" s="4">
        <v>47770</v>
      </c>
      <c r="T167" s="3" t="s">
        <v>1535</v>
      </c>
      <c r="U167" s="3" t="s">
        <v>1536</v>
      </c>
    </row>
    <row r="168" spans="1:21" x14ac:dyDescent="0.3">
      <c r="A168" s="3" t="s">
        <v>1537</v>
      </c>
      <c r="B168" s="3" t="s">
        <v>23</v>
      </c>
      <c r="C168" s="3" t="s">
        <v>1538</v>
      </c>
      <c r="D168" s="3" t="s">
        <v>1539</v>
      </c>
      <c r="E168" s="3" t="s">
        <v>529</v>
      </c>
      <c r="F168" s="3" t="s">
        <v>1540</v>
      </c>
      <c r="G168" s="3" t="s">
        <v>411</v>
      </c>
      <c r="H168" s="3">
        <v>689101</v>
      </c>
      <c r="I168" s="3" t="s">
        <v>29</v>
      </c>
      <c r="J168" s="1"/>
      <c r="K168" s="3">
        <v>2623902</v>
      </c>
      <c r="L168" s="3">
        <v>2604406</v>
      </c>
      <c r="M168" s="1"/>
      <c r="N168" s="3" t="s">
        <v>1541</v>
      </c>
      <c r="O168" s="4">
        <v>44621</v>
      </c>
      <c r="P168" s="4">
        <v>46446</v>
      </c>
      <c r="Q168" s="3" t="s">
        <v>1542</v>
      </c>
      <c r="R168" s="4">
        <v>44621</v>
      </c>
      <c r="S168" s="4">
        <v>46446</v>
      </c>
      <c r="T168" s="3" t="s">
        <v>1543</v>
      </c>
      <c r="U168" s="3" t="s">
        <v>1544</v>
      </c>
    </row>
    <row r="169" spans="1:21" x14ac:dyDescent="0.3">
      <c r="A169" s="3" t="s">
        <v>1545</v>
      </c>
      <c r="B169" s="3" t="s">
        <v>23</v>
      </c>
      <c r="C169" s="3" t="s">
        <v>1546</v>
      </c>
      <c r="D169" s="3" t="s">
        <v>1547</v>
      </c>
      <c r="E169" s="3" t="s">
        <v>1548</v>
      </c>
      <c r="F169" s="3" t="s">
        <v>969</v>
      </c>
      <c r="G169" s="3" t="s">
        <v>376</v>
      </c>
      <c r="H169" s="3">
        <v>688011</v>
      </c>
      <c r="I169" s="3" t="s">
        <v>29</v>
      </c>
      <c r="J169" s="1"/>
      <c r="K169" s="3">
        <v>4772263333</v>
      </c>
      <c r="L169" s="3">
        <v>9400413328</v>
      </c>
      <c r="M169" s="1"/>
      <c r="N169" s="3" t="s">
        <v>1549</v>
      </c>
      <c r="O169" s="4">
        <v>44147</v>
      </c>
      <c r="P169" s="4">
        <v>45972</v>
      </c>
      <c r="Q169" s="3" t="s">
        <v>1550</v>
      </c>
      <c r="R169" s="4">
        <v>44147</v>
      </c>
      <c r="S169" s="4">
        <v>45972</v>
      </c>
      <c r="T169" s="3" t="s">
        <v>1551</v>
      </c>
      <c r="U169" s="3" t="s">
        <v>1552</v>
      </c>
    </row>
    <row r="170" spans="1:21" x14ac:dyDescent="0.3">
      <c r="A170" s="3" t="s">
        <v>1553</v>
      </c>
      <c r="B170" s="3" t="s">
        <v>23</v>
      </c>
      <c r="C170" s="3" t="s">
        <v>1554</v>
      </c>
      <c r="D170" s="3" t="s">
        <v>1555</v>
      </c>
      <c r="E170" s="3" t="s">
        <v>1556</v>
      </c>
      <c r="F170" s="3" t="s">
        <v>1557</v>
      </c>
      <c r="G170" s="3" t="s">
        <v>1558</v>
      </c>
      <c r="H170" s="3">
        <v>685508</v>
      </c>
      <c r="I170" s="3" t="s">
        <v>29</v>
      </c>
      <c r="J170" s="1"/>
      <c r="K170" s="3">
        <v>4868274308</v>
      </c>
      <c r="L170" s="3">
        <v>274853</v>
      </c>
      <c r="M170" s="3">
        <v>9447916972</v>
      </c>
      <c r="N170" s="3" t="s">
        <v>1559</v>
      </c>
      <c r="O170" s="4">
        <v>41327</v>
      </c>
      <c r="P170" s="1"/>
      <c r="Q170" s="3" t="s">
        <v>1560</v>
      </c>
      <c r="R170" s="4">
        <v>41327</v>
      </c>
      <c r="S170" s="1"/>
      <c r="T170" s="3" t="s">
        <v>1561</v>
      </c>
      <c r="U170" s="3" t="s">
        <v>1562</v>
      </c>
    </row>
    <row r="171" spans="1:21" x14ac:dyDescent="0.3">
      <c r="A171" s="3" t="s">
        <v>1563</v>
      </c>
      <c r="B171" s="3" t="s">
        <v>23</v>
      </c>
      <c r="C171" s="3" t="s">
        <v>1564</v>
      </c>
      <c r="D171" s="3" t="s">
        <v>1565</v>
      </c>
      <c r="E171" s="3" t="s">
        <v>1566</v>
      </c>
      <c r="F171" s="3" t="s">
        <v>1567</v>
      </c>
      <c r="G171" s="3" t="s">
        <v>140</v>
      </c>
      <c r="H171" s="3">
        <v>671121</v>
      </c>
      <c r="I171" s="3" t="s">
        <v>29</v>
      </c>
      <c r="J171" s="3" t="s">
        <v>1568</v>
      </c>
      <c r="K171" s="1"/>
      <c r="L171" s="3">
        <v>9447961391</v>
      </c>
      <c r="M171" s="3">
        <v>9446736672</v>
      </c>
      <c r="N171" s="3" t="s">
        <v>1569</v>
      </c>
      <c r="O171" s="4">
        <v>45292</v>
      </c>
      <c r="P171" s="4">
        <v>47118</v>
      </c>
      <c r="Q171" s="3" t="s">
        <v>1570</v>
      </c>
      <c r="R171" s="4">
        <v>45292</v>
      </c>
      <c r="S171" s="4">
        <v>47118</v>
      </c>
      <c r="T171" s="3" t="s">
        <v>1571</v>
      </c>
      <c r="U171" s="3" t="s">
        <v>1572</v>
      </c>
    </row>
    <row r="172" spans="1:21" x14ac:dyDescent="0.3">
      <c r="A172" s="3" t="s">
        <v>1573</v>
      </c>
      <c r="B172" s="3" t="s">
        <v>23</v>
      </c>
      <c r="C172" s="3" t="s">
        <v>1574</v>
      </c>
      <c r="D172" s="3" t="s">
        <v>1575</v>
      </c>
      <c r="E172" s="3" t="s">
        <v>1576</v>
      </c>
      <c r="F172" s="3" t="s">
        <v>1577</v>
      </c>
      <c r="G172" s="3" t="s">
        <v>86</v>
      </c>
      <c r="H172" s="3">
        <v>678001</v>
      </c>
      <c r="I172" s="3" t="s">
        <v>29</v>
      </c>
      <c r="J172" s="1"/>
      <c r="K172" s="3">
        <v>4912531109</v>
      </c>
      <c r="L172" s="1"/>
      <c r="M172" s="1"/>
      <c r="N172" s="3" t="s">
        <v>1578</v>
      </c>
      <c r="O172" s="4">
        <v>40193</v>
      </c>
      <c r="P172" s="1"/>
      <c r="Q172" s="3" t="s">
        <v>1579</v>
      </c>
      <c r="R172" s="4">
        <v>40193</v>
      </c>
      <c r="S172" s="1"/>
      <c r="T172" s="3" t="s">
        <v>1580</v>
      </c>
      <c r="U172" s="3" t="s">
        <v>1581</v>
      </c>
    </row>
    <row r="173" spans="1:21" x14ac:dyDescent="0.3">
      <c r="A173" s="3" t="s">
        <v>1582</v>
      </c>
      <c r="B173" s="3" t="s">
        <v>23</v>
      </c>
      <c r="C173" s="3" t="s">
        <v>1583</v>
      </c>
      <c r="D173" s="3" t="s">
        <v>1584</v>
      </c>
      <c r="E173" s="3" t="s">
        <v>937</v>
      </c>
      <c r="F173" s="3" t="s">
        <v>1585</v>
      </c>
      <c r="G173" s="3" t="s">
        <v>1586</v>
      </c>
      <c r="H173" s="3">
        <v>685584</v>
      </c>
      <c r="I173" s="3" t="s">
        <v>29</v>
      </c>
      <c r="J173" s="3" t="s">
        <v>1587</v>
      </c>
      <c r="K173" s="3">
        <v>225603</v>
      </c>
      <c r="L173" s="3">
        <v>229896</v>
      </c>
      <c r="M173" s="1"/>
      <c r="N173" s="3" t="s">
        <v>1588</v>
      </c>
      <c r="O173" s="4">
        <v>45730</v>
      </c>
      <c r="P173" s="4">
        <v>47569</v>
      </c>
      <c r="Q173" s="3" t="s">
        <v>1589</v>
      </c>
      <c r="R173" s="1"/>
      <c r="S173" s="4">
        <v>47556</v>
      </c>
      <c r="T173" s="3" t="s">
        <v>1590</v>
      </c>
      <c r="U173" s="3" t="s">
        <v>1591</v>
      </c>
    </row>
    <row r="174" spans="1:21" x14ac:dyDescent="0.3">
      <c r="A174" s="3" t="s">
        <v>1592</v>
      </c>
      <c r="B174" s="3" t="s">
        <v>23</v>
      </c>
      <c r="C174" s="3" t="s">
        <v>1593</v>
      </c>
      <c r="D174" s="3" t="s">
        <v>1594</v>
      </c>
      <c r="E174" s="3" t="s">
        <v>1595</v>
      </c>
      <c r="F174" s="3" t="s">
        <v>1596</v>
      </c>
      <c r="G174" s="3" t="s">
        <v>175</v>
      </c>
      <c r="H174" s="3">
        <v>673101</v>
      </c>
      <c r="I174" s="3" t="s">
        <v>29</v>
      </c>
      <c r="J174" s="1"/>
      <c r="K174" s="3">
        <v>4962512031</v>
      </c>
      <c r="L174" s="3">
        <v>9447990115</v>
      </c>
      <c r="M174" s="1"/>
      <c r="N174" s="3" t="s">
        <v>1597</v>
      </c>
      <c r="O174" s="1"/>
      <c r="P174" s="4">
        <v>45382</v>
      </c>
      <c r="Q174" s="3" t="s">
        <v>1598</v>
      </c>
      <c r="R174" s="1"/>
      <c r="S174" s="4">
        <v>45382</v>
      </c>
      <c r="T174" s="3" t="s">
        <v>1599</v>
      </c>
      <c r="U174" s="3" t="s">
        <v>1600</v>
      </c>
    </row>
    <row r="175" spans="1:21" x14ac:dyDescent="0.3">
      <c r="A175" s="3" t="s">
        <v>1601</v>
      </c>
      <c r="B175" s="3" t="s">
        <v>23</v>
      </c>
      <c r="C175" s="3" t="s">
        <v>1602</v>
      </c>
      <c r="D175" s="3" t="s">
        <v>1603</v>
      </c>
      <c r="E175" s="3" t="s">
        <v>1604</v>
      </c>
      <c r="F175" s="3" t="s">
        <v>1605</v>
      </c>
      <c r="G175" s="3" t="s">
        <v>165</v>
      </c>
      <c r="H175" s="3">
        <v>682035</v>
      </c>
      <c r="I175" s="3" t="s">
        <v>29</v>
      </c>
      <c r="J175" s="3" t="s">
        <v>1606</v>
      </c>
      <c r="K175" s="3">
        <v>6590486</v>
      </c>
      <c r="L175" s="3">
        <v>2353986</v>
      </c>
      <c r="M175" s="3">
        <v>4242374932</v>
      </c>
      <c r="N175" s="3" t="s">
        <v>1607</v>
      </c>
      <c r="O175" s="4">
        <v>42838</v>
      </c>
      <c r="P175" s="4">
        <v>44663</v>
      </c>
      <c r="Q175" s="3" t="s">
        <v>1608</v>
      </c>
      <c r="R175" s="4">
        <v>42838</v>
      </c>
      <c r="S175" s="4">
        <v>44663</v>
      </c>
      <c r="T175" s="3" t="s">
        <v>1609</v>
      </c>
      <c r="U175" s="3" t="s">
        <v>1610</v>
      </c>
    </row>
    <row r="176" spans="1:21" x14ac:dyDescent="0.3">
      <c r="A176" s="3" t="s">
        <v>1611</v>
      </c>
      <c r="B176" s="3" t="s">
        <v>23</v>
      </c>
      <c r="C176" s="3" t="s">
        <v>1612</v>
      </c>
      <c r="D176" s="3" t="s">
        <v>1613</v>
      </c>
      <c r="E176" s="3" t="s">
        <v>1614</v>
      </c>
      <c r="F176" s="1"/>
      <c r="G176" s="3" t="s">
        <v>68</v>
      </c>
      <c r="H176" s="3">
        <v>691506</v>
      </c>
      <c r="I176" s="3" t="s">
        <v>29</v>
      </c>
      <c r="J176" s="3" t="s">
        <v>1615</v>
      </c>
      <c r="K176" s="3">
        <v>7994814848</v>
      </c>
      <c r="L176" s="3" t="s">
        <v>1616</v>
      </c>
      <c r="M176" s="3">
        <v>9447416779</v>
      </c>
      <c r="N176" s="3" t="s">
        <v>1617</v>
      </c>
      <c r="O176" s="4">
        <v>44779</v>
      </c>
      <c r="P176" s="4">
        <v>46604</v>
      </c>
      <c r="Q176" s="3" t="s">
        <v>1618</v>
      </c>
      <c r="R176" s="4">
        <v>44779</v>
      </c>
      <c r="S176" s="4">
        <v>46604</v>
      </c>
      <c r="T176" s="3" t="s">
        <v>1619</v>
      </c>
      <c r="U176" s="3" t="s">
        <v>1620</v>
      </c>
    </row>
    <row r="177" spans="1:21" x14ac:dyDescent="0.3">
      <c r="A177" s="3" t="s">
        <v>1621</v>
      </c>
      <c r="B177" s="3" t="s">
        <v>23</v>
      </c>
      <c r="C177" s="3" t="s">
        <v>1622</v>
      </c>
      <c r="D177" s="3" t="s">
        <v>1623</v>
      </c>
      <c r="E177" s="3" t="s">
        <v>1624</v>
      </c>
      <c r="F177" s="3" t="s">
        <v>1625</v>
      </c>
      <c r="G177" s="3" t="s">
        <v>626</v>
      </c>
      <c r="H177" s="3">
        <v>673121</v>
      </c>
      <c r="I177" s="3" t="s">
        <v>29</v>
      </c>
      <c r="J177" s="1"/>
      <c r="K177" s="3">
        <v>4936207354</v>
      </c>
      <c r="L177" s="1"/>
      <c r="M177" s="1"/>
      <c r="N177" s="3" t="s">
        <v>1626</v>
      </c>
      <c r="O177" s="4">
        <v>44621</v>
      </c>
      <c r="P177" s="4">
        <v>46446</v>
      </c>
      <c r="Q177" s="3" t="s">
        <v>1627</v>
      </c>
      <c r="R177" s="4">
        <v>44621</v>
      </c>
      <c r="S177" s="4">
        <v>46446</v>
      </c>
      <c r="T177" s="3" t="s">
        <v>1628</v>
      </c>
      <c r="U177" s="3" t="s">
        <v>1629</v>
      </c>
    </row>
    <row r="178" spans="1:21" x14ac:dyDescent="0.3">
      <c r="A178" s="3" t="s">
        <v>1630</v>
      </c>
      <c r="B178" s="3" t="s">
        <v>23</v>
      </c>
      <c r="C178" s="3" t="s">
        <v>1631</v>
      </c>
      <c r="D178" s="3" t="s">
        <v>1632</v>
      </c>
      <c r="E178" s="3" t="s">
        <v>1632</v>
      </c>
      <c r="F178" s="1"/>
      <c r="G178" s="3" t="s">
        <v>68</v>
      </c>
      <c r="H178" s="3">
        <v>691001</v>
      </c>
      <c r="I178" s="3" t="s">
        <v>29</v>
      </c>
      <c r="J178" s="1"/>
      <c r="K178" s="1"/>
      <c r="L178" s="1"/>
      <c r="M178" s="1"/>
      <c r="N178" s="3" t="s">
        <v>1633</v>
      </c>
      <c r="O178" s="1"/>
      <c r="P178" s="4">
        <v>46112</v>
      </c>
      <c r="Q178" s="3" t="s">
        <v>1634</v>
      </c>
      <c r="R178" s="1"/>
      <c r="S178" s="4">
        <v>46112</v>
      </c>
      <c r="T178" s="3" t="s">
        <v>1635</v>
      </c>
      <c r="U178" s="3" t="s">
        <v>1636</v>
      </c>
    </row>
    <row r="179" spans="1:21" x14ac:dyDescent="0.3">
      <c r="A179" s="3" t="s">
        <v>1637</v>
      </c>
      <c r="B179" s="3" t="s">
        <v>23</v>
      </c>
      <c r="C179" s="3" t="s">
        <v>1638</v>
      </c>
      <c r="D179" s="3" t="s">
        <v>1639</v>
      </c>
      <c r="E179" s="3" t="s">
        <v>1640</v>
      </c>
      <c r="F179" s="3" t="s">
        <v>1641</v>
      </c>
      <c r="G179" s="3" t="s">
        <v>165</v>
      </c>
      <c r="H179" s="3">
        <v>682033</v>
      </c>
      <c r="I179" s="3" t="s">
        <v>29</v>
      </c>
      <c r="J179" s="1"/>
      <c r="K179" s="1"/>
      <c r="L179" s="1"/>
      <c r="M179" s="1"/>
      <c r="N179" s="3" t="s">
        <v>1642</v>
      </c>
      <c r="O179" s="1"/>
      <c r="P179" s="4">
        <v>47540</v>
      </c>
      <c r="Q179" s="3" t="s">
        <v>1643</v>
      </c>
      <c r="R179" s="1"/>
      <c r="S179" s="4">
        <v>47540</v>
      </c>
      <c r="T179" s="3" t="s">
        <v>1644</v>
      </c>
      <c r="U179" s="3" t="s">
        <v>1645</v>
      </c>
    </row>
    <row r="180" spans="1:21" x14ac:dyDescent="0.3">
      <c r="A180" s="3" t="s">
        <v>1646</v>
      </c>
      <c r="B180" s="3" t="s">
        <v>23</v>
      </c>
      <c r="C180" s="3" t="s">
        <v>1647</v>
      </c>
      <c r="D180" s="3" t="s">
        <v>1648</v>
      </c>
      <c r="E180" s="3" t="s">
        <v>1649</v>
      </c>
      <c r="F180" s="3" t="s">
        <v>1650</v>
      </c>
      <c r="G180" s="3" t="s">
        <v>86</v>
      </c>
      <c r="H180" s="3">
        <v>678001</v>
      </c>
      <c r="I180" s="3" t="s">
        <v>29</v>
      </c>
      <c r="J180" s="1"/>
      <c r="K180" s="3" t="s">
        <v>1651</v>
      </c>
      <c r="L180" s="3">
        <v>6238633643</v>
      </c>
      <c r="M180" s="1"/>
      <c r="N180" s="3" t="s">
        <v>1652</v>
      </c>
      <c r="O180" s="1"/>
      <c r="P180" s="1"/>
      <c r="Q180" s="3" t="s">
        <v>1653</v>
      </c>
      <c r="R180" s="1"/>
      <c r="S180" s="1"/>
      <c r="T180" s="3" t="s">
        <v>1654</v>
      </c>
      <c r="U180" s="3" t="s">
        <v>1655</v>
      </c>
    </row>
    <row r="181" spans="1:21" x14ac:dyDescent="0.3">
      <c r="A181" s="3" t="s">
        <v>1656</v>
      </c>
      <c r="B181" s="3" t="s">
        <v>23</v>
      </c>
      <c r="C181" s="3" t="s">
        <v>1657</v>
      </c>
      <c r="D181" s="3" t="s">
        <v>1658</v>
      </c>
      <c r="E181" s="3" t="s">
        <v>1659</v>
      </c>
      <c r="F181" s="1"/>
      <c r="G181" s="3" t="s">
        <v>1586</v>
      </c>
      <c r="H181" s="3">
        <v>685553</v>
      </c>
      <c r="I181" s="3" t="s">
        <v>29</v>
      </c>
      <c r="J181" s="1"/>
      <c r="K181" s="1"/>
      <c r="L181" s="1"/>
      <c r="M181" s="1"/>
      <c r="N181" s="3" t="s">
        <v>1660</v>
      </c>
      <c r="O181" s="1"/>
      <c r="P181" s="4">
        <v>47210</v>
      </c>
      <c r="Q181" s="3" t="s">
        <v>1661</v>
      </c>
      <c r="R181" s="1"/>
      <c r="S181" s="4">
        <v>47210</v>
      </c>
      <c r="T181" s="3" t="s">
        <v>1662</v>
      </c>
      <c r="U181" s="3" t="s">
        <v>1663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4"/>
  <sheetViews>
    <sheetView tabSelected="1" topLeftCell="A354" workbookViewId="0">
      <selection activeCell="B349" sqref="B349"/>
    </sheetView>
  </sheetViews>
  <sheetFormatPr defaultColWidth="9.109375" defaultRowHeight="18" x14ac:dyDescent="0.35"/>
  <cols>
    <col min="1" max="1" width="14.6640625" style="71" bestFit="1" customWidth="1"/>
    <col min="2" max="2" width="49.88671875" style="71" bestFit="1" customWidth="1"/>
    <col min="3" max="3" width="4.88671875" style="71" bestFit="1" customWidth="1"/>
    <col min="4" max="4" width="7.109375" style="71" customWidth="1"/>
    <col min="5" max="5" width="6.33203125" style="71" bestFit="1" customWidth="1"/>
    <col min="6" max="6" width="6.6640625" style="71" bestFit="1" customWidth="1"/>
    <col min="7" max="7" width="9.109375" style="71"/>
    <col min="8" max="8" width="11.77734375" style="71" customWidth="1"/>
    <col min="9" max="16384" width="9.109375" style="71"/>
  </cols>
  <sheetData>
    <row r="1" spans="1:6" ht="18" customHeight="1" x14ac:dyDescent="0.35">
      <c r="A1" s="90" t="s">
        <v>1768</v>
      </c>
      <c r="B1" s="86" t="s">
        <v>1769</v>
      </c>
      <c r="C1" s="86" t="s">
        <v>1770</v>
      </c>
      <c r="D1" s="86" t="s">
        <v>1771</v>
      </c>
      <c r="E1" s="86" t="s">
        <v>1772</v>
      </c>
      <c r="F1" s="88" t="s">
        <v>1773</v>
      </c>
    </row>
    <row r="2" spans="1:6" x14ac:dyDescent="0.35">
      <c r="A2" s="91"/>
      <c r="B2" s="87"/>
      <c r="C2" s="87"/>
      <c r="D2" s="87"/>
      <c r="E2" s="87"/>
      <c r="F2" s="89"/>
    </row>
    <row r="3" spans="1:6" x14ac:dyDescent="0.35">
      <c r="A3" s="72" t="s">
        <v>1774</v>
      </c>
      <c r="B3" s="73" t="s">
        <v>2418</v>
      </c>
      <c r="C3" s="74"/>
      <c r="D3" s="75">
        <v>20</v>
      </c>
      <c r="E3" s="75">
        <f t="shared" ref="E3:E73" si="0">C3/D3</f>
        <v>0</v>
      </c>
      <c r="F3" s="76" t="s">
        <v>1775</v>
      </c>
    </row>
    <row r="4" spans="1:6" x14ac:dyDescent="0.35">
      <c r="A4" s="72" t="s">
        <v>1776</v>
      </c>
      <c r="B4" s="73" t="s">
        <v>2419</v>
      </c>
      <c r="C4" s="74"/>
      <c r="D4" s="77">
        <v>25</v>
      </c>
      <c r="E4" s="73">
        <f t="shared" si="0"/>
        <v>0</v>
      </c>
      <c r="F4" s="76" t="s">
        <v>1775</v>
      </c>
    </row>
    <row r="5" spans="1:6" x14ac:dyDescent="0.35">
      <c r="A5" s="72" t="s">
        <v>1777</v>
      </c>
      <c r="B5" s="73" t="s">
        <v>2420</v>
      </c>
      <c r="C5" s="74"/>
      <c r="D5" s="77">
        <v>25</v>
      </c>
      <c r="E5" s="73">
        <f t="shared" si="0"/>
        <v>0</v>
      </c>
      <c r="F5" s="76" t="s">
        <v>1775</v>
      </c>
    </row>
    <row r="6" spans="1:6" x14ac:dyDescent="0.35">
      <c r="A6" s="72" t="s">
        <v>1778</v>
      </c>
      <c r="B6" s="73" t="s">
        <v>2491</v>
      </c>
      <c r="C6" s="74"/>
      <c r="D6" s="77">
        <v>10</v>
      </c>
      <c r="E6" s="73">
        <f t="shared" si="0"/>
        <v>0</v>
      </c>
      <c r="F6" s="76" t="s">
        <v>1775</v>
      </c>
    </row>
    <row r="7" spans="1:6" x14ac:dyDescent="0.35">
      <c r="A7" s="72" t="s">
        <v>1779</v>
      </c>
      <c r="B7" s="73" t="s">
        <v>2553</v>
      </c>
      <c r="C7" s="74"/>
      <c r="D7" s="77">
        <v>10</v>
      </c>
      <c r="E7" s="73">
        <f t="shared" si="0"/>
        <v>0</v>
      </c>
      <c r="F7" s="76" t="s">
        <v>1775</v>
      </c>
    </row>
    <row r="8" spans="1:6" x14ac:dyDescent="0.35">
      <c r="A8" s="72" t="s">
        <v>1780</v>
      </c>
      <c r="B8" s="73" t="s">
        <v>2421</v>
      </c>
      <c r="C8" s="74"/>
      <c r="D8" s="77">
        <v>10</v>
      </c>
      <c r="E8" s="73">
        <f t="shared" si="0"/>
        <v>0</v>
      </c>
      <c r="F8" s="76" t="s">
        <v>1775</v>
      </c>
    </row>
    <row r="9" spans="1:6" x14ac:dyDescent="0.35">
      <c r="A9" s="72" t="s">
        <v>1781</v>
      </c>
      <c r="B9" s="73" t="s">
        <v>2554</v>
      </c>
      <c r="C9" s="74"/>
      <c r="D9" s="77">
        <v>10</v>
      </c>
      <c r="E9" s="73">
        <f t="shared" si="0"/>
        <v>0</v>
      </c>
      <c r="F9" s="76" t="s">
        <v>1775</v>
      </c>
    </row>
    <row r="10" spans="1:6" x14ac:dyDescent="0.35">
      <c r="A10" s="72" t="s">
        <v>1782</v>
      </c>
      <c r="B10" s="73" t="s">
        <v>2573</v>
      </c>
      <c r="C10" s="74"/>
      <c r="D10" s="77">
        <v>10</v>
      </c>
      <c r="E10" s="73">
        <f t="shared" si="0"/>
        <v>0</v>
      </c>
      <c r="F10" s="76" t="s">
        <v>1775</v>
      </c>
    </row>
    <row r="11" spans="1:6" x14ac:dyDescent="0.35">
      <c r="A11" s="72" t="s">
        <v>1783</v>
      </c>
      <c r="B11" s="73" t="s">
        <v>2422</v>
      </c>
      <c r="C11" s="74"/>
      <c r="D11" s="77">
        <v>3</v>
      </c>
      <c r="E11" s="73">
        <f t="shared" si="0"/>
        <v>0</v>
      </c>
      <c r="F11" s="76" t="s">
        <v>1775</v>
      </c>
    </row>
    <row r="12" spans="1:6" x14ac:dyDescent="0.35">
      <c r="A12" s="72" t="s">
        <v>1784</v>
      </c>
      <c r="B12" s="73" t="s">
        <v>2423</v>
      </c>
      <c r="C12" s="74"/>
      <c r="D12" s="77">
        <v>40</v>
      </c>
      <c r="E12" s="73">
        <f t="shared" si="0"/>
        <v>0</v>
      </c>
      <c r="F12" s="76" t="s">
        <v>1775</v>
      </c>
    </row>
    <row r="13" spans="1:6" x14ac:dyDescent="0.35">
      <c r="A13" s="72" t="s">
        <v>1785</v>
      </c>
      <c r="B13" s="73" t="s">
        <v>2594</v>
      </c>
      <c r="C13" s="74"/>
      <c r="D13" s="77">
        <v>40</v>
      </c>
      <c r="E13" s="73">
        <f t="shared" si="0"/>
        <v>0</v>
      </c>
      <c r="F13" s="76" t="s">
        <v>1775</v>
      </c>
    </row>
    <row r="14" spans="1:6" x14ac:dyDescent="0.35">
      <c r="A14" s="72" t="s">
        <v>1786</v>
      </c>
      <c r="B14" s="73" t="s">
        <v>2486</v>
      </c>
      <c r="C14" s="74"/>
      <c r="D14" s="77">
        <v>1</v>
      </c>
      <c r="E14" s="73">
        <f t="shared" si="0"/>
        <v>0</v>
      </c>
      <c r="F14" s="76" t="s">
        <v>1775</v>
      </c>
    </row>
    <row r="15" spans="1:6" x14ac:dyDescent="0.35">
      <c r="A15" s="72" t="s">
        <v>1787</v>
      </c>
      <c r="B15" s="73" t="s">
        <v>2487</v>
      </c>
      <c r="C15" s="74"/>
      <c r="D15" s="77">
        <v>1</v>
      </c>
      <c r="E15" s="73">
        <f t="shared" si="0"/>
        <v>0</v>
      </c>
      <c r="F15" s="76" t="s">
        <v>1775</v>
      </c>
    </row>
    <row r="16" spans="1:6" x14ac:dyDescent="0.35">
      <c r="A16" s="78" t="s">
        <v>1788</v>
      </c>
      <c r="B16" s="75" t="s">
        <v>2424</v>
      </c>
      <c r="C16" s="74"/>
      <c r="D16" s="74">
        <v>3</v>
      </c>
      <c r="E16" s="73">
        <f t="shared" si="0"/>
        <v>0</v>
      </c>
      <c r="F16" s="79" t="s">
        <v>1775</v>
      </c>
    </row>
    <row r="17" spans="1:6" x14ac:dyDescent="0.35">
      <c r="A17" s="78" t="s">
        <v>1789</v>
      </c>
      <c r="B17" s="75" t="s">
        <v>2425</v>
      </c>
      <c r="C17" s="74"/>
      <c r="D17" s="74">
        <v>3</v>
      </c>
      <c r="E17" s="73">
        <f t="shared" si="0"/>
        <v>0</v>
      </c>
      <c r="F17" s="79" t="s">
        <v>1775</v>
      </c>
    </row>
    <row r="18" spans="1:6" x14ac:dyDescent="0.35">
      <c r="A18" s="72" t="s">
        <v>1790</v>
      </c>
      <c r="B18" s="73" t="s">
        <v>2492</v>
      </c>
      <c r="C18" s="74"/>
      <c r="D18" s="77">
        <v>10</v>
      </c>
      <c r="E18" s="73">
        <f t="shared" si="0"/>
        <v>0</v>
      </c>
      <c r="F18" s="76" t="s">
        <v>1775</v>
      </c>
    </row>
    <row r="19" spans="1:6" x14ac:dyDescent="0.35">
      <c r="A19" s="72" t="s">
        <v>1791</v>
      </c>
      <c r="B19" s="73" t="s">
        <v>1792</v>
      </c>
      <c r="C19" s="74"/>
      <c r="D19" s="77">
        <v>5</v>
      </c>
      <c r="E19" s="73">
        <f t="shared" si="0"/>
        <v>0</v>
      </c>
      <c r="F19" s="76" t="s">
        <v>1775</v>
      </c>
    </row>
    <row r="20" spans="1:6" x14ac:dyDescent="0.35">
      <c r="A20" s="72" t="s">
        <v>1793</v>
      </c>
      <c r="B20" s="73" t="s">
        <v>1794</v>
      </c>
      <c r="C20" s="74"/>
      <c r="D20" s="77">
        <v>5</v>
      </c>
      <c r="E20" s="73">
        <f t="shared" si="0"/>
        <v>0</v>
      </c>
      <c r="F20" s="76" t="s">
        <v>1775</v>
      </c>
    </row>
    <row r="21" spans="1:6" x14ac:dyDescent="0.35">
      <c r="A21" s="72" t="s">
        <v>1795</v>
      </c>
      <c r="B21" s="73" t="s">
        <v>1796</v>
      </c>
      <c r="C21" s="74"/>
      <c r="D21" s="77">
        <v>3</v>
      </c>
      <c r="E21" s="73">
        <f t="shared" si="0"/>
        <v>0</v>
      </c>
      <c r="F21" s="76" t="s">
        <v>1775</v>
      </c>
    </row>
    <row r="22" spans="1:6" x14ac:dyDescent="0.35">
      <c r="A22" s="72" t="s">
        <v>1797</v>
      </c>
      <c r="B22" s="73" t="s">
        <v>1798</v>
      </c>
      <c r="C22" s="74"/>
      <c r="D22" s="77">
        <v>3</v>
      </c>
      <c r="E22" s="73">
        <f t="shared" si="0"/>
        <v>0</v>
      </c>
      <c r="F22" s="76" t="s">
        <v>1775</v>
      </c>
    </row>
    <row r="23" spans="1:6" x14ac:dyDescent="0.35">
      <c r="A23" s="72" t="s">
        <v>1799</v>
      </c>
      <c r="B23" s="73" t="s">
        <v>1800</v>
      </c>
      <c r="C23" s="74"/>
      <c r="D23" s="77">
        <v>3</v>
      </c>
      <c r="E23" s="73">
        <f t="shared" si="0"/>
        <v>0</v>
      </c>
      <c r="F23" s="76" t="s">
        <v>1775</v>
      </c>
    </row>
    <row r="24" spans="1:6" x14ac:dyDescent="0.35">
      <c r="A24" s="72" t="s">
        <v>1801</v>
      </c>
      <c r="B24" s="73" t="s">
        <v>2603</v>
      </c>
      <c r="C24" s="74"/>
      <c r="D24" s="77">
        <v>10</v>
      </c>
      <c r="E24" s="73">
        <f t="shared" si="0"/>
        <v>0</v>
      </c>
      <c r="F24" s="76" t="s">
        <v>1775</v>
      </c>
    </row>
    <row r="25" spans="1:6" x14ac:dyDescent="0.35">
      <c r="A25" s="72" t="s">
        <v>1802</v>
      </c>
      <c r="B25" s="73" t="s">
        <v>2604</v>
      </c>
      <c r="C25" s="74"/>
      <c r="D25" s="77">
        <v>10</v>
      </c>
      <c r="E25" s="73">
        <f t="shared" si="0"/>
        <v>0</v>
      </c>
      <c r="F25" s="76" t="s">
        <v>1775</v>
      </c>
    </row>
    <row r="26" spans="1:6" x14ac:dyDescent="0.35">
      <c r="A26" s="72" t="s">
        <v>1803</v>
      </c>
      <c r="B26" s="73" t="s">
        <v>2605</v>
      </c>
      <c r="C26" s="74"/>
      <c r="D26" s="77">
        <v>10</v>
      </c>
      <c r="E26" s="73">
        <f t="shared" si="0"/>
        <v>0</v>
      </c>
      <c r="F26" s="76" t="s">
        <v>1775</v>
      </c>
    </row>
    <row r="27" spans="1:6" x14ac:dyDescent="0.35">
      <c r="A27" s="72" t="s">
        <v>1804</v>
      </c>
      <c r="B27" s="73" t="s">
        <v>2426</v>
      </c>
      <c r="C27" s="74"/>
      <c r="D27" s="77">
        <v>10</v>
      </c>
      <c r="E27" s="73">
        <f t="shared" si="0"/>
        <v>0</v>
      </c>
      <c r="F27" s="76" t="s">
        <v>1775</v>
      </c>
    </row>
    <row r="28" spans="1:6" x14ac:dyDescent="0.35">
      <c r="A28" s="72" t="s">
        <v>1805</v>
      </c>
      <c r="B28" s="73" t="s">
        <v>1806</v>
      </c>
      <c r="C28" s="74"/>
      <c r="D28" s="77">
        <v>3</v>
      </c>
      <c r="E28" s="73">
        <f t="shared" si="0"/>
        <v>0</v>
      </c>
      <c r="F28" s="76" t="s">
        <v>1775</v>
      </c>
    </row>
    <row r="29" spans="1:6" x14ac:dyDescent="0.35">
      <c r="A29" s="72" t="s">
        <v>1807</v>
      </c>
      <c r="B29" s="73" t="s">
        <v>2427</v>
      </c>
      <c r="C29" s="74"/>
      <c r="D29" s="77">
        <v>3</v>
      </c>
      <c r="E29" s="73">
        <f t="shared" si="0"/>
        <v>0</v>
      </c>
      <c r="F29" s="76" t="s">
        <v>1775</v>
      </c>
    </row>
    <row r="30" spans="1:6" x14ac:dyDescent="0.35">
      <c r="A30" s="72" t="s">
        <v>1808</v>
      </c>
      <c r="B30" s="73" t="s">
        <v>2622</v>
      </c>
      <c r="C30" s="74"/>
      <c r="D30" s="77">
        <v>10</v>
      </c>
      <c r="E30" s="73">
        <f t="shared" si="0"/>
        <v>0</v>
      </c>
      <c r="F30" s="76" t="s">
        <v>1775</v>
      </c>
    </row>
    <row r="31" spans="1:6" x14ac:dyDescent="0.35">
      <c r="A31" s="72" t="s">
        <v>1809</v>
      </c>
      <c r="B31" s="73" t="s">
        <v>2623</v>
      </c>
      <c r="C31" s="74"/>
      <c r="D31" s="77">
        <v>10</v>
      </c>
      <c r="E31" s="73">
        <f t="shared" si="0"/>
        <v>0</v>
      </c>
      <c r="F31" s="76" t="s">
        <v>1775</v>
      </c>
    </row>
    <row r="32" spans="1:6" x14ac:dyDescent="0.35">
      <c r="A32" s="72" t="s">
        <v>1810</v>
      </c>
      <c r="B32" s="73" t="s">
        <v>2611</v>
      </c>
      <c r="C32" s="74"/>
      <c r="D32" s="77">
        <v>10</v>
      </c>
      <c r="E32" s="73">
        <f t="shared" si="0"/>
        <v>0</v>
      </c>
      <c r="F32" s="76" t="s">
        <v>1775</v>
      </c>
    </row>
    <row r="33" spans="1:6" x14ac:dyDescent="0.35">
      <c r="A33" s="72" t="s">
        <v>1811</v>
      </c>
      <c r="B33" s="73" t="s">
        <v>2612</v>
      </c>
      <c r="C33" s="74"/>
      <c r="D33" s="77">
        <v>10</v>
      </c>
      <c r="E33" s="73">
        <f t="shared" si="0"/>
        <v>0</v>
      </c>
      <c r="F33" s="76" t="s">
        <v>1775</v>
      </c>
    </row>
    <row r="34" spans="1:6" x14ac:dyDescent="0.35">
      <c r="A34" s="72" t="s">
        <v>1812</v>
      </c>
      <c r="B34" s="73" t="s">
        <v>2646</v>
      </c>
      <c r="C34" s="74"/>
      <c r="D34" s="77">
        <v>10</v>
      </c>
      <c r="E34" s="73">
        <f t="shared" si="0"/>
        <v>0</v>
      </c>
      <c r="F34" s="76" t="s">
        <v>1775</v>
      </c>
    </row>
    <row r="35" spans="1:6" x14ac:dyDescent="0.35">
      <c r="A35" s="72" t="s">
        <v>1813</v>
      </c>
      <c r="B35" s="73" t="s">
        <v>1814</v>
      </c>
      <c r="C35" s="74"/>
      <c r="D35" s="77">
        <v>10</v>
      </c>
      <c r="E35" s="73">
        <f t="shared" si="0"/>
        <v>0</v>
      </c>
      <c r="F35" s="76" t="s">
        <v>1775</v>
      </c>
    </row>
    <row r="36" spans="1:6" x14ac:dyDescent="0.35">
      <c r="A36" s="72" t="s">
        <v>1815</v>
      </c>
      <c r="B36" s="73" t="s">
        <v>1816</v>
      </c>
      <c r="C36" s="74"/>
      <c r="D36" s="77">
        <v>3</v>
      </c>
      <c r="E36" s="73">
        <f t="shared" si="0"/>
        <v>0</v>
      </c>
      <c r="F36" s="76" t="s">
        <v>1775</v>
      </c>
    </row>
    <row r="37" spans="1:6" x14ac:dyDescent="0.35">
      <c r="A37" s="72" t="s">
        <v>1817</v>
      </c>
      <c r="B37" s="73" t="s">
        <v>2647</v>
      </c>
      <c r="C37" s="74"/>
      <c r="D37" s="77">
        <v>10</v>
      </c>
      <c r="E37" s="73">
        <f t="shared" si="0"/>
        <v>0</v>
      </c>
      <c r="F37" s="76" t="s">
        <v>1775</v>
      </c>
    </row>
    <row r="38" spans="1:6" x14ac:dyDescent="0.35">
      <c r="A38" s="72" t="s">
        <v>1818</v>
      </c>
      <c r="B38" s="73" t="s">
        <v>1819</v>
      </c>
      <c r="C38" s="74"/>
      <c r="D38" s="77">
        <v>3</v>
      </c>
      <c r="E38" s="73">
        <f t="shared" si="0"/>
        <v>0</v>
      </c>
      <c r="F38" s="76" t="s">
        <v>1775</v>
      </c>
    </row>
    <row r="39" spans="1:6" x14ac:dyDescent="0.35">
      <c r="A39" s="72" t="s">
        <v>1820</v>
      </c>
      <c r="B39" s="73" t="s">
        <v>2733</v>
      </c>
      <c r="C39" s="74"/>
      <c r="D39" s="77">
        <v>35</v>
      </c>
      <c r="E39" s="73">
        <f t="shared" si="0"/>
        <v>0</v>
      </c>
      <c r="F39" s="76" t="s">
        <v>1821</v>
      </c>
    </row>
    <row r="40" spans="1:6" x14ac:dyDescent="0.35">
      <c r="A40" s="72" t="s">
        <v>1822</v>
      </c>
      <c r="B40" s="73" t="s">
        <v>2648</v>
      </c>
      <c r="C40" s="74"/>
      <c r="D40" s="77">
        <v>15</v>
      </c>
      <c r="E40" s="73">
        <f t="shared" si="0"/>
        <v>0</v>
      </c>
      <c r="F40" s="76" t="s">
        <v>1821</v>
      </c>
    </row>
    <row r="41" spans="1:6" x14ac:dyDescent="0.35">
      <c r="A41" s="72" t="s">
        <v>1823</v>
      </c>
      <c r="B41" s="73" t="s">
        <v>2649</v>
      </c>
      <c r="C41" s="74"/>
      <c r="D41" s="77">
        <v>10</v>
      </c>
      <c r="E41" s="73">
        <f t="shared" si="0"/>
        <v>0</v>
      </c>
      <c r="F41" s="76" t="s">
        <v>1821</v>
      </c>
    </row>
    <row r="42" spans="1:6" x14ac:dyDescent="0.35">
      <c r="A42" s="72" t="s">
        <v>1824</v>
      </c>
      <c r="B42" s="73" t="s">
        <v>2595</v>
      </c>
      <c r="C42" s="74"/>
      <c r="D42" s="77">
        <v>15</v>
      </c>
      <c r="E42" s="73">
        <f t="shared" si="0"/>
        <v>0</v>
      </c>
      <c r="F42" s="76" t="s">
        <v>1821</v>
      </c>
    </row>
    <row r="43" spans="1:6" x14ac:dyDescent="0.35">
      <c r="A43" s="72" t="s">
        <v>1825</v>
      </c>
      <c r="B43" s="73" t="s">
        <v>1826</v>
      </c>
      <c r="C43" s="74"/>
      <c r="D43" s="77">
        <v>10</v>
      </c>
      <c r="E43" s="73">
        <f t="shared" si="0"/>
        <v>0</v>
      </c>
      <c r="F43" s="76" t="s">
        <v>1821</v>
      </c>
    </row>
    <row r="44" spans="1:6" x14ac:dyDescent="0.35">
      <c r="A44" s="72" t="s">
        <v>1827</v>
      </c>
      <c r="B44" s="73" t="s">
        <v>2493</v>
      </c>
      <c r="C44" s="74"/>
      <c r="D44" s="77">
        <v>10</v>
      </c>
      <c r="E44" s="73">
        <f t="shared" si="0"/>
        <v>0</v>
      </c>
      <c r="F44" s="76" t="s">
        <v>1821</v>
      </c>
    </row>
    <row r="45" spans="1:6" x14ac:dyDescent="0.35">
      <c r="A45" s="72" t="s">
        <v>1828</v>
      </c>
      <c r="B45" s="73" t="s">
        <v>2494</v>
      </c>
      <c r="C45" s="74"/>
      <c r="D45" s="77">
        <v>10</v>
      </c>
      <c r="E45" s="73">
        <f t="shared" si="0"/>
        <v>0</v>
      </c>
      <c r="F45" s="76" t="s">
        <v>1821</v>
      </c>
    </row>
    <row r="46" spans="1:6" x14ac:dyDescent="0.35">
      <c r="A46" s="72" t="s">
        <v>1829</v>
      </c>
      <c r="B46" s="73" t="s">
        <v>2495</v>
      </c>
      <c r="C46" s="74"/>
      <c r="D46" s="77">
        <v>15</v>
      </c>
      <c r="E46" s="73">
        <f t="shared" si="0"/>
        <v>0</v>
      </c>
      <c r="F46" s="76" t="s">
        <v>1821</v>
      </c>
    </row>
    <row r="47" spans="1:6" x14ac:dyDescent="0.35">
      <c r="A47" s="72" t="s">
        <v>1830</v>
      </c>
      <c r="B47" s="73" t="s">
        <v>1831</v>
      </c>
      <c r="C47" s="74"/>
      <c r="D47" s="77">
        <v>10</v>
      </c>
      <c r="E47" s="73">
        <f t="shared" si="0"/>
        <v>0</v>
      </c>
      <c r="F47" s="76" t="s">
        <v>1821</v>
      </c>
    </row>
    <row r="48" spans="1:6" x14ac:dyDescent="0.35">
      <c r="A48" s="72" t="s">
        <v>1832</v>
      </c>
      <c r="B48" s="73" t="s">
        <v>2624</v>
      </c>
      <c r="C48" s="74"/>
      <c r="D48" s="77">
        <v>15</v>
      </c>
      <c r="E48" s="73">
        <f t="shared" si="0"/>
        <v>0</v>
      </c>
      <c r="F48" s="76" t="s">
        <v>1821</v>
      </c>
    </row>
    <row r="49" spans="1:6" x14ac:dyDescent="0.35">
      <c r="A49" s="72" t="s">
        <v>1833</v>
      </c>
      <c r="B49" s="73" t="s">
        <v>2496</v>
      </c>
      <c r="C49" s="74"/>
      <c r="D49" s="77">
        <v>15</v>
      </c>
      <c r="E49" s="73">
        <f t="shared" si="0"/>
        <v>0</v>
      </c>
      <c r="F49" s="76" t="s">
        <v>1821</v>
      </c>
    </row>
    <row r="50" spans="1:6" x14ac:dyDescent="0.35">
      <c r="A50" s="72" t="s">
        <v>1834</v>
      </c>
      <c r="B50" s="73" t="s">
        <v>2428</v>
      </c>
      <c r="C50" s="74"/>
      <c r="D50" s="77">
        <v>5</v>
      </c>
      <c r="E50" s="73">
        <f t="shared" si="0"/>
        <v>0</v>
      </c>
      <c r="F50" s="76" t="s">
        <v>1821</v>
      </c>
    </row>
    <row r="51" spans="1:6" x14ac:dyDescent="0.35">
      <c r="A51" s="72" t="s">
        <v>1835</v>
      </c>
      <c r="B51" s="73" t="s">
        <v>2429</v>
      </c>
      <c r="C51" s="74"/>
      <c r="D51" s="77">
        <v>5</v>
      </c>
      <c r="E51" s="73">
        <f t="shared" si="0"/>
        <v>0</v>
      </c>
      <c r="F51" s="76" t="s">
        <v>1821</v>
      </c>
    </row>
    <row r="52" spans="1:6" x14ac:dyDescent="0.35">
      <c r="A52" s="72" t="s">
        <v>1836</v>
      </c>
      <c r="B52" s="73" t="s">
        <v>2430</v>
      </c>
      <c r="C52" s="74"/>
      <c r="D52" s="77">
        <v>10</v>
      </c>
      <c r="E52" s="73">
        <f t="shared" si="0"/>
        <v>0</v>
      </c>
      <c r="F52" s="76" t="s">
        <v>1821</v>
      </c>
    </row>
    <row r="53" spans="1:6" x14ac:dyDescent="0.35">
      <c r="A53" s="72" t="s">
        <v>1837</v>
      </c>
      <c r="B53" s="73" t="s">
        <v>2431</v>
      </c>
      <c r="C53" s="74"/>
      <c r="D53" s="77">
        <v>5</v>
      </c>
      <c r="E53" s="73">
        <f t="shared" si="0"/>
        <v>0</v>
      </c>
      <c r="F53" s="76" t="s">
        <v>1821</v>
      </c>
    </row>
    <row r="54" spans="1:6" x14ac:dyDescent="0.35">
      <c r="A54" s="72" t="s">
        <v>1838</v>
      </c>
      <c r="B54" s="73" t="s">
        <v>2665</v>
      </c>
      <c r="C54" s="74"/>
      <c r="D54" s="77">
        <v>3</v>
      </c>
      <c r="E54" s="73">
        <f t="shared" si="0"/>
        <v>0</v>
      </c>
      <c r="F54" s="76" t="s">
        <v>1821</v>
      </c>
    </row>
    <row r="55" spans="1:6" x14ac:dyDescent="0.35">
      <c r="A55" s="72" t="s">
        <v>1839</v>
      </c>
      <c r="B55" s="73" t="s">
        <v>2666</v>
      </c>
      <c r="C55" s="74"/>
      <c r="D55" s="77">
        <v>3</v>
      </c>
      <c r="E55" s="73">
        <f t="shared" si="0"/>
        <v>0</v>
      </c>
      <c r="F55" s="76" t="s">
        <v>1821</v>
      </c>
    </row>
    <row r="56" spans="1:6" x14ac:dyDescent="0.35">
      <c r="A56" s="72" t="s">
        <v>1840</v>
      </c>
      <c r="B56" s="73" t="s">
        <v>2667</v>
      </c>
      <c r="C56" s="74"/>
      <c r="D56" s="77">
        <v>3</v>
      </c>
      <c r="E56" s="73">
        <f t="shared" si="0"/>
        <v>0</v>
      </c>
      <c r="F56" s="76" t="s">
        <v>1821</v>
      </c>
    </row>
    <row r="57" spans="1:6" x14ac:dyDescent="0.35">
      <c r="A57" s="72" t="s">
        <v>1841</v>
      </c>
      <c r="B57" s="73" t="s">
        <v>2432</v>
      </c>
      <c r="C57" s="74"/>
      <c r="D57" s="77">
        <v>3</v>
      </c>
      <c r="E57" s="73">
        <f t="shared" si="0"/>
        <v>0</v>
      </c>
      <c r="F57" s="76" t="s">
        <v>1821</v>
      </c>
    </row>
    <row r="58" spans="1:6" x14ac:dyDescent="0.35">
      <c r="A58" s="72" t="s">
        <v>1842</v>
      </c>
      <c r="B58" s="73" t="s">
        <v>2433</v>
      </c>
      <c r="C58" s="74"/>
      <c r="D58" s="77">
        <v>3</v>
      </c>
      <c r="E58" s="73">
        <f t="shared" si="0"/>
        <v>0</v>
      </c>
      <c r="F58" s="76" t="s">
        <v>1821</v>
      </c>
    </row>
    <row r="59" spans="1:6" x14ac:dyDescent="0.35">
      <c r="A59" s="72" t="s">
        <v>1843</v>
      </c>
      <c r="B59" s="73" t="s">
        <v>2434</v>
      </c>
      <c r="C59" s="74"/>
      <c r="D59" s="77">
        <v>3</v>
      </c>
      <c r="E59" s="73">
        <f t="shared" si="0"/>
        <v>0</v>
      </c>
      <c r="F59" s="76" t="s">
        <v>1821</v>
      </c>
    </row>
    <row r="60" spans="1:6" x14ac:dyDescent="0.35">
      <c r="A60" s="72" t="s">
        <v>1844</v>
      </c>
      <c r="B60" s="73" t="s">
        <v>2706</v>
      </c>
      <c r="C60" s="74"/>
      <c r="D60" s="77">
        <v>3</v>
      </c>
      <c r="E60" s="73">
        <f t="shared" si="0"/>
        <v>0</v>
      </c>
      <c r="F60" s="76" t="s">
        <v>1821</v>
      </c>
    </row>
    <row r="61" spans="1:6" x14ac:dyDescent="0.35">
      <c r="A61" s="72" t="s">
        <v>1845</v>
      </c>
      <c r="B61" s="73" t="s">
        <v>2707</v>
      </c>
      <c r="C61" s="74"/>
      <c r="D61" s="77">
        <v>3</v>
      </c>
      <c r="E61" s="73">
        <f t="shared" si="0"/>
        <v>0</v>
      </c>
      <c r="F61" s="76" t="s">
        <v>1821</v>
      </c>
    </row>
    <row r="62" spans="1:6" x14ac:dyDescent="0.35">
      <c r="A62" s="72" t="s">
        <v>1846</v>
      </c>
      <c r="B62" s="73" t="s">
        <v>2708</v>
      </c>
      <c r="C62" s="74"/>
      <c r="D62" s="77">
        <v>3</v>
      </c>
      <c r="E62" s="73">
        <f t="shared" si="0"/>
        <v>0</v>
      </c>
      <c r="F62" s="76" t="s">
        <v>1821</v>
      </c>
    </row>
    <row r="63" spans="1:6" x14ac:dyDescent="0.35">
      <c r="A63" s="72" t="s">
        <v>1847</v>
      </c>
      <c r="B63" s="73" t="s">
        <v>2709</v>
      </c>
      <c r="C63" s="74"/>
      <c r="D63" s="77">
        <v>3</v>
      </c>
      <c r="E63" s="73">
        <f t="shared" si="0"/>
        <v>0</v>
      </c>
      <c r="F63" s="76" t="s">
        <v>1821</v>
      </c>
    </row>
    <row r="64" spans="1:6" x14ac:dyDescent="0.35">
      <c r="A64" s="72" t="s">
        <v>1848</v>
      </c>
      <c r="B64" s="73" t="s">
        <v>2668</v>
      </c>
      <c r="C64" s="74"/>
      <c r="D64" s="77">
        <v>3</v>
      </c>
      <c r="E64" s="73">
        <f t="shared" si="0"/>
        <v>0</v>
      </c>
      <c r="F64" s="76" t="s">
        <v>1821</v>
      </c>
    </row>
    <row r="65" spans="1:6" x14ac:dyDescent="0.35">
      <c r="A65" s="72" t="s">
        <v>1849</v>
      </c>
      <c r="B65" s="73" t="s">
        <v>2669</v>
      </c>
      <c r="C65" s="74"/>
      <c r="D65" s="77">
        <v>3</v>
      </c>
      <c r="E65" s="73">
        <f t="shared" si="0"/>
        <v>0</v>
      </c>
      <c r="F65" s="76" t="s">
        <v>1821</v>
      </c>
    </row>
    <row r="66" spans="1:6" x14ac:dyDescent="0.35">
      <c r="A66" s="72" t="s">
        <v>1850</v>
      </c>
      <c r="B66" s="73" t="s">
        <v>2670</v>
      </c>
      <c r="C66" s="74"/>
      <c r="D66" s="77">
        <v>3</v>
      </c>
      <c r="E66" s="73">
        <f t="shared" si="0"/>
        <v>0</v>
      </c>
      <c r="F66" s="76" t="s">
        <v>1821</v>
      </c>
    </row>
    <row r="67" spans="1:6" x14ac:dyDescent="0.35">
      <c r="A67" s="72" t="s">
        <v>1851</v>
      </c>
      <c r="B67" s="73" t="s">
        <v>2671</v>
      </c>
      <c r="C67" s="74"/>
      <c r="D67" s="77">
        <v>3</v>
      </c>
      <c r="E67" s="73">
        <f t="shared" si="0"/>
        <v>0</v>
      </c>
      <c r="F67" s="76" t="s">
        <v>1821</v>
      </c>
    </row>
    <row r="68" spans="1:6" x14ac:dyDescent="0.35">
      <c r="A68" s="72" t="s">
        <v>1852</v>
      </c>
      <c r="B68" s="73" t="s">
        <v>2672</v>
      </c>
      <c r="C68" s="74"/>
      <c r="D68" s="77">
        <v>3</v>
      </c>
      <c r="E68" s="73">
        <f t="shared" si="0"/>
        <v>0</v>
      </c>
      <c r="F68" s="76" t="s">
        <v>1821</v>
      </c>
    </row>
    <row r="69" spans="1:6" x14ac:dyDescent="0.35">
      <c r="A69" s="72" t="s">
        <v>1853</v>
      </c>
      <c r="B69" s="73" t="s">
        <v>2673</v>
      </c>
      <c r="C69" s="74"/>
      <c r="D69" s="77">
        <v>3</v>
      </c>
      <c r="E69" s="73">
        <f t="shared" si="0"/>
        <v>0</v>
      </c>
      <c r="F69" s="76" t="s">
        <v>1821</v>
      </c>
    </row>
    <row r="70" spans="1:6" x14ac:dyDescent="0.35">
      <c r="A70" s="72" t="s">
        <v>1854</v>
      </c>
      <c r="B70" s="73" t="s">
        <v>1855</v>
      </c>
      <c r="C70" s="74"/>
      <c r="D70" s="73">
        <v>3</v>
      </c>
      <c r="E70" s="73">
        <f t="shared" si="0"/>
        <v>0</v>
      </c>
      <c r="F70" s="76" t="s">
        <v>1821</v>
      </c>
    </row>
    <row r="71" spans="1:6" x14ac:dyDescent="0.35">
      <c r="A71" s="72" t="s">
        <v>1856</v>
      </c>
      <c r="B71" s="73" t="s">
        <v>1857</v>
      </c>
      <c r="C71" s="74"/>
      <c r="D71" s="73">
        <v>3</v>
      </c>
      <c r="E71" s="73">
        <f t="shared" si="0"/>
        <v>0</v>
      </c>
      <c r="F71" s="76" t="s">
        <v>1821</v>
      </c>
    </row>
    <row r="72" spans="1:6" x14ac:dyDescent="0.35">
      <c r="A72" s="72" t="s">
        <v>1858</v>
      </c>
      <c r="B72" s="73" t="s">
        <v>2625</v>
      </c>
      <c r="C72" s="74"/>
      <c r="D72" s="77">
        <v>10</v>
      </c>
      <c r="E72" s="73">
        <f t="shared" si="0"/>
        <v>0</v>
      </c>
      <c r="F72" s="76" t="s">
        <v>1821</v>
      </c>
    </row>
    <row r="73" spans="1:6" x14ac:dyDescent="0.35">
      <c r="A73" s="72" t="s">
        <v>1859</v>
      </c>
      <c r="B73" s="73" t="s">
        <v>2626</v>
      </c>
      <c r="C73" s="74"/>
      <c r="D73" s="77">
        <v>3</v>
      </c>
      <c r="E73" s="73">
        <f t="shared" si="0"/>
        <v>0</v>
      </c>
      <c r="F73" s="76" t="s">
        <v>1821</v>
      </c>
    </row>
    <row r="74" spans="1:6" x14ac:dyDescent="0.35">
      <c r="A74" s="72" t="s">
        <v>1860</v>
      </c>
      <c r="B74" s="73" t="s">
        <v>1861</v>
      </c>
      <c r="C74" s="74"/>
      <c r="D74" s="77">
        <v>10</v>
      </c>
      <c r="E74" s="73">
        <f t="shared" ref="E74:E142" si="1">C74/D74</f>
        <v>0</v>
      </c>
      <c r="F74" s="76" t="s">
        <v>1821</v>
      </c>
    </row>
    <row r="75" spans="1:6" x14ac:dyDescent="0.35">
      <c r="A75" s="72" t="s">
        <v>1862</v>
      </c>
      <c r="B75" s="73" t="s">
        <v>1863</v>
      </c>
      <c r="C75" s="74"/>
      <c r="D75" s="77">
        <v>10</v>
      </c>
      <c r="E75" s="73">
        <f t="shared" si="1"/>
        <v>0</v>
      </c>
      <c r="F75" s="76" t="s">
        <v>1821</v>
      </c>
    </row>
    <row r="76" spans="1:6" x14ac:dyDescent="0.35">
      <c r="A76" s="72" t="s">
        <v>1864</v>
      </c>
      <c r="B76" s="73" t="s">
        <v>1865</v>
      </c>
      <c r="C76" s="74"/>
      <c r="D76" s="77">
        <v>10</v>
      </c>
      <c r="E76" s="73">
        <f t="shared" si="1"/>
        <v>0</v>
      </c>
      <c r="F76" s="76" t="s">
        <v>1821</v>
      </c>
    </row>
    <row r="77" spans="1:6" x14ac:dyDescent="0.35">
      <c r="A77" s="72" t="s">
        <v>1866</v>
      </c>
      <c r="B77" s="73" t="s">
        <v>1867</v>
      </c>
      <c r="C77" s="74"/>
      <c r="D77" s="77">
        <v>3</v>
      </c>
      <c r="E77" s="73">
        <f t="shared" si="1"/>
        <v>0</v>
      </c>
      <c r="F77" s="76" t="s">
        <v>1821</v>
      </c>
    </row>
    <row r="78" spans="1:6" x14ac:dyDescent="0.35">
      <c r="A78" s="72" t="s">
        <v>1868</v>
      </c>
      <c r="B78" s="73" t="s">
        <v>1869</v>
      </c>
      <c r="C78" s="74"/>
      <c r="D78" s="77">
        <v>3</v>
      </c>
      <c r="E78" s="73">
        <f t="shared" si="1"/>
        <v>0</v>
      </c>
      <c r="F78" s="76" t="s">
        <v>1821</v>
      </c>
    </row>
    <row r="79" spans="1:6" x14ac:dyDescent="0.35">
      <c r="A79" s="72" t="s">
        <v>1870</v>
      </c>
      <c r="B79" s="73" t="s">
        <v>2627</v>
      </c>
      <c r="C79" s="74"/>
      <c r="D79" s="77">
        <v>10</v>
      </c>
      <c r="E79" s="73">
        <f t="shared" si="1"/>
        <v>0</v>
      </c>
      <c r="F79" s="76" t="s">
        <v>1821</v>
      </c>
    </row>
    <row r="80" spans="1:6" x14ac:dyDescent="0.35">
      <c r="A80" s="72" t="s">
        <v>1871</v>
      </c>
      <c r="B80" s="73" t="s">
        <v>2555</v>
      </c>
      <c r="C80" s="74"/>
      <c r="D80" s="77">
        <v>10</v>
      </c>
      <c r="E80" s="73">
        <f t="shared" si="1"/>
        <v>0</v>
      </c>
      <c r="F80" s="76" t="s">
        <v>1821</v>
      </c>
    </row>
    <row r="81" spans="1:6" x14ac:dyDescent="0.35">
      <c r="A81" s="72" t="s">
        <v>1872</v>
      </c>
      <c r="B81" s="73" t="s">
        <v>1873</v>
      </c>
      <c r="C81" s="74"/>
      <c r="D81" s="77">
        <v>5</v>
      </c>
      <c r="E81" s="73">
        <f t="shared" si="1"/>
        <v>0</v>
      </c>
      <c r="F81" s="76" t="s">
        <v>1821</v>
      </c>
    </row>
    <row r="82" spans="1:6" x14ac:dyDescent="0.35">
      <c r="A82" s="72" t="s">
        <v>1874</v>
      </c>
      <c r="B82" s="73" t="s">
        <v>2556</v>
      </c>
      <c r="C82" s="74"/>
      <c r="D82" s="77">
        <v>10</v>
      </c>
      <c r="E82" s="73">
        <f t="shared" si="1"/>
        <v>0</v>
      </c>
      <c r="F82" s="76" t="s">
        <v>1821</v>
      </c>
    </row>
    <row r="83" spans="1:6" x14ac:dyDescent="0.35">
      <c r="A83" s="72" t="s">
        <v>1875</v>
      </c>
      <c r="B83" s="73" t="s">
        <v>1876</v>
      </c>
      <c r="C83" s="74"/>
      <c r="D83" s="73">
        <v>3</v>
      </c>
      <c r="E83" s="73">
        <f t="shared" si="1"/>
        <v>0</v>
      </c>
      <c r="F83" s="76" t="s">
        <v>1877</v>
      </c>
    </row>
    <row r="84" spans="1:6" x14ac:dyDescent="0.35">
      <c r="A84" s="72" t="s">
        <v>1878</v>
      </c>
      <c r="B84" s="73" t="s">
        <v>2497</v>
      </c>
      <c r="C84" s="74"/>
      <c r="D84" s="77">
        <v>14</v>
      </c>
      <c r="E84" s="73">
        <f t="shared" si="1"/>
        <v>0</v>
      </c>
      <c r="F84" s="76" t="s">
        <v>1877</v>
      </c>
    </row>
    <row r="85" spans="1:6" x14ac:dyDescent="0.35">
      <c r="A85" s="72" t="s">
        <v>1879</v>
      </c>
      <c r="B85" s="73" t="s">
        <v>2557</v>
      </c>
      <c r="C85" s="74"/>
      <c r="D85" s="77">
        <v>10</v>
      </c>
      <c r="E85" s="73">
        <f>C85/D85</f>
        <v>0</v>
      </c>
      <c r="F85" s="76" t="s">
        <v>1877</v>
      </c>
    </row>
    <row r="86" spans="1:6" x14ac:dyDescent="0.35">
      <c r="A86" s="72" t="s">
        <v>1880</v>
      </c>
      <c r="B86" s="73" t="s">
        <v>2435</v>
      </c>
      <c r="C86" s="74"/>
      <c r="D86" s="77">
        <v>3</v>
      </c>
      <c r="E86" s="73">
        <f t="shared" si="1"/>
        <v>0</v>
      </c>
      <c r="F86" s="76" t="s">
        <v>1877</v>
      </c>
    </row>
    <row r="87" spans="1:6" x14ac:dyDescent="0.35">
      <c r="A87" s="72" t="s">
        <v>1881</v>
      </c>
      <c r="B87" s="73" t="s">
        <v>2650</v>
      </c>
      <c r="C87" s="74"/>
      <c r="D87" s="77">
        <v>10</v>
      </c>
      <c r="E87" s="73">
        <f t="shared" si="1"/>
        <v>0</v>
      </c>
      <c r="F87" s="76" t="s">
        <v>1877</v>
      </c>
    </row>
    <row r="88" spans="1:6" x14ac:dyDescent="0.35">
      <c r="A88" s="72" t="s">
        <v>1882</v>
      </c>
      <c r="B88" s="73" t="s">
        <v>2498</v>
      </c>
      <c r="C88" s="74"/>
      <c r="D88" s="77">
        <v>10</v>
      </c>
      <c r="E88" s="73">
        <f t="shared" si="1"/>
        <v>0</v>
      </c>
      <c r="F88" s="76" t="s">
        <v>1877</v>
      </c>
    </row>
    <row r="89" spans="1:6" x14ac:dyDescent="0.35">
      <c r="A89" s="72" t="s">
        <v>1883</v>
      </c>
      <c r="B89" s="73" t="s">
        <v>2436</v>
      </c>
      <c r="C89" s="74"/>
      <c r="D89" s="77">
        <v>10</v>
      </c>
      <c r="E89" s="73">
        <f t="shared" si="1"/>
        <v>0</v>
      </c>
      <c r="F89" s="76" t="s">
        <v>1877</v>
      </c>
    </row>
    <row r="90" spans="1:6" x14ac:dyDescent="0.35">
      <c r="A90" s="72" t="s">
        <v>1884</v>
      </c>
      <c r="B90" s="73" t="s">
        <v>2697</v>
      </c>
      <c r="C90" s="74"/>
      <c r="D90" s="77">
        <v>3</v>
      </c>
      <c r="E90" s="73">
        <f t="shared" si="1"/>
        <v>0</v>
      </c>
      <c r="F90" s="76" t="s">
        <v>1877</v>
      </c>
    </row>
    <row r="91" spans="1:6" x14ac:dyDescent="0.35">
      <c r="A91" s="72" t="s">
        <v>1885</v>
      </c>
      <c r="B91" s="73" t="s">
        <v>2628</v>
      </c>
      <c r="C91" s="74"/>
      <c r="D91" s="77">
        <v>10</v>
      </c>
      <c r="E91" s="73">
        <f t="shared" si="1"/>
        <v>0</v>
      </c>
      <c r="F91" s="76" t="s">
        <v>1877</v>
      </c>
    </row>
    <row r="92" spans="1:6" x14ac:dyDescent="0.35">
      <c r="A92" s="72" t="s">
        <v>1886</v>
      </c>
      <c r="B92" s="73" t="s">
        <v>2558</v>
      </c>
      <c r="C92" s="74"/>
      <c r="D92" s="77">
        <v>10</v>
      </c>
      <c r="E92" s="73">
        <f t="shared" si="1"/>
        <v>0</v>
      </c>
      <c r="F92" s="76" t="s">
        <v>1877</v>
      </c>
    </row>
    <row r="93" spans="1:6" x14ac:dyDescent="0.35">
      <c r="A93" s="72" t="s">
        <v>1887</v>
      </c>
      <c r="B93" s="73" t="s">
        <v>1888</v>
      </c>
      <c r="C93" s="74"/>
      <c r="D93" s="77">
        <v>3</v>
      </c>
      <c r="E93" s="73">
        <f t="shared" si="1"/>
        <v>0</v>
      </c>
      <c r="F93" s="76" t="s">
        <v>1877</v>
      </c>
    </row>
    <row r="94" spans="1:6" x14ac:dyDescent="0.35">
      <c r="A94" s="72" t="s">
        <v>1889</v>
      </c>
      <c r="B94" s="73" t="s">
        <v>1890</v>
      </c>
      <c r="C94" s="74"/>
      <c r="D94" s="77">
        <v>3</v>
      </c>
      <c r="E94" s="73">
        <f t="shared" si="1"/>
        <v>0</v>
      </c>
      <c r="F94" s="76" t="s">
        <v>1877</v>
      </c>
    </row>
    <row r="95" spans="1:6" x14ac:dyDescent="0.35">
      <c r="A95" s="72" t="s">
        <v>1891</v>
      </c>
      <c r="B95" s="73" t="s">
        <v>2559</v>
      </c>
      <c r="C95" s="74"/>
      <c r="D95" s="77">
        <v>10</v>
      </c>
      <c r="E95" s="73">
        <f t="shared" si="1"/>
        <v>0</v>
      </c>
      <c r="F95" s="76" t="s">
        <v>1877</v>
      </c>
    </row>
    <row r="96" spans="1:6" x14ac:dyDescent="0.35">
      <c r="A96" s="72" t="s">
        <v>1892</v>
      </c>
      <c r="B96" s="73" t="s">
        <v>2560</v>
      </c>
      <c r="C96" s="74"/>
      <c r="D96" s="77">
        <v>10</v>
      </c>
      <c r="E96" s="73">
        <f t="shared" si="1"/>
        <v>0</v>
      </c>
      <c r="F96" s="76" t="s">
        <v>1877</v>
      </c>
    </row>
    <row r="97" spans="1:6" x14ac:dyDescent="0.35">
      <c r="A97" s="72" t="s">
        <v>1893</v>
      </c>
      <c r="B97" s="73" t="s">
        <v>2561</v>
      </c>
      <c r="C97" s="74"/>
      <c r="D97" s="77">
        <v>10</v>
      </c>
      <c r="E97" s="73">
        <f t="shared" si="1"/>
        <v>0</v>
      </c>
      <c r="F97" s="76" t="s">
        <v>1877</v>
      </c>
    </row>
    <row r="98" spans="1:6" x14ac:dyDescent="0.35">
      <c r="A98" s="72" t="s">
        <v>1894</v>
      </c>
      <c r="B98" s="73" t="s">
        <v>2629</v>
      </c>
      <c r="C98" s="74"/>
      <c r="D98" s="77">
        <v>10</v>
      </c>
      <c r="E98" s="73">
        <f t="shared" si="1"/>
        <v>0</v>
      </c>
      <c r="F98" s="76" t="s">
        <v>1877</v>
      </c>
    </row>
    <row r="99" spans="1:6" x14ac:dyDescent="0.35">
      <c r="A99" s="72" t="s">
        <v>1895</v>
      </c>
      <c r="B99" s="73" t="s">
        <v>2630</v>
      </c>
      <c r="C99" s="74"/>
      <c r="D99" s="77">
        <v>10</v>
      </c>
      <c r="E99" s="73">
        <f t="shared" si="1"/>
        <v>0</v>
      </c>
      <c r="F99" s="76" t="s">
        <v>1877</v>
      </c>
    </row>
    <row r="100" spans="1:6" x14ac:dyDescent="0.35">
      <c r="A100" s="72" t="s">
        <v>1896</v>
      </c>
      <c r="B100" s="73" t="s">
        <v>1897</v>
      </c>
      <c r="C100" s="74"/>
      <c r="D100" s="77">
        <v>10</v>
      </c>
      <c r="E100" s="73">
        <f t="shared" si="1"/>
        <v>0</v>
      </c>
      <c r="F100" s="76" t="s">
        <v>1877</v>
      </c>
    </row>
    <row r="101" spans="1:6" x14ac:dyDescent="0.35">
      <c r="A101" s="72" t="s">
        <v>1898</v>
      </c>
      <c r="B101" s="73" t="s">
        <v>2574</v>
      </c>
      <c r="C101" s="74"/>
      <c r="D101" s="77">
        <v>3</v>
      </c>
      <c r="E101" s="73">
        <f t="shared" si="1"/>
        <v>0</v>
      </c>
      <c r="F101" s="76" t="s">
        <v>1877</v>
      </c>
    </row>
    <row r="102" spans="1:6" x14ac:dyDescent="0.35">
      <c r="A102" s="72" t="s">
        <v>1899</v>
      </c>
      <c r="B102" s="73" t="s">
        <v>2631</v>
      </c>
      <c r="C102" s="74"/>
      <c r="D102" s="77">
        <v>10</v>
      </c>
      <c r="E102" s="73">
        <f t="shared" si="1"/>
        <v>0</v>
      </c>
      <c r="F102" s="76" t="s">
        <v>1877</v>
      </c>
    </row>
    <row r="103" spans="1:6" x14ac:dyDescent="0.35">
      <c r="A103" s="72" t="s">
        <v>1900</v>
      </c>
      <c r="B103" s="73" t="s">
        <v>1901</v>
      </c>
      <c r="C103" s="74"/>
      <c r="D103" s="77">
        <v>10</v>
      </c>
      <c r="E103" s="73">
        <f t="shared" si="1"/>
        <v>0</v>
      </c>
      <c r="F103" s="76" t="s">
        <v>1877</v>
      </c>
    </row>
    <row r="104" spans="1:6" x14ac:dyDescent="0.35">
      <c r="A104" s="72" t="s">
        <v>1902</v>
      </c>
      <c r="B104" s="73" t="s">
        <v>1903</v>
      </c>
      <c r="C104" s="74"/>
      <c r="D104" s="77">
        <v>10</v>
      </c>
      <c r="E104" s="73">
        <f t="shared" si="1"/>
        <v>0</v>
      </c>
      <c r="F104" s="76" t="s">
        <v>1877</v>
      </c>
    </row>
    <row r="105" spans="1:6" x14ac:dyDescent="0.35">
      <c r="A105" s="72" t="s">
        <v>1904</v>
      </c>
      <c r="B105" s="73" t="s">
        <v>1905</v>
      </c>
      <c r="C105" s="74"/>
      <c r="D105" s="77">
        <v>10</v>
      </c>
      <c r="E105" s="73">
        <f t="shared" si="1"/>
        <v>0</v>
      </c>
      <c r="F105" s="76" t="s">
        <v>1877</v>
      </c>
    </row>
    <row r="106" spans="1:6" x14ac:dyDescent="0.35">
      <c r="A106" s="72" t="s">
        <v>1906</v>
      </c>
      <c r="B106" s="73" t="s">
        <v>2596</v>
      </c>
      <c r="C106" s="74"/>
      <c r="D106" s="77">
        <v>10</v>
      </c>
      <c r="E106" s="73">
        <f t="shared" si="1"/>
        <v>0</v>
      </c>
      <c r="F106" s="76" t="s">
        <v>1877</v>
      </c>
    </row>
    <row r="107" spans="1:6" x14ac:dyDescent="0.35">
      <c r="A107" s="72" t="s">
        <v>1907</v>
      </c>
      <c r="B107" s="73" t="s">
        <v>2597</v>
      </c>
      <c r="C107" s="74"/>
      <c r="D107" s="77">
        <v>10</v>
      </c>
      <c r="E107" s="73">
        <f t="shared" si="1"/>
        <v>0</v>
      </c>
      <c r="F107" s="76" t="s">
        <v>1877</v>
      </c>
    </row>
    <row r="108" spans="1:6" x14ac:dyDescent="0.35">
      <c r="A108" s="72" t="s">
        <v>1908</v>
      </c>
      <c r="B108" s="73" t="s">
        <v>2575</v>
      </c>
      <c r="C108" s="74"/>
      <c r="D108" s="77">
        <v>3</v>
      </c>
      <c r="E108" s="73">
        <f t="shared" si="1"/>
        <v>0</v>
      </c>
      <c r="F108" s="76" t="s">
        <v>1877</v>
      </c>
    </row>
    <row r="109" spans="1:6" x14ac:dyDescent="0.35">
      <c r="A109" s="72" t="s">
        <v>1909</v>
      </c>
      <c r="B109" s="73" t="s">
        <v>2651</v>
      </c>
      <c r="C109" s="74"/>
      <c r="D109" s="77">
        <v>10</v>
      </c>
      <c r="E109" s="73">
        <f t="shared" si="1"/>
        <v>0</v>
      </c>
      <c r="F109" s="76" t="s">
        <v>1877</v>
      </c>
    </row>
    <row r="110" spans="1:6" x14ac:dyDescent="0.35">
      <c r="A110" s="72" t="s">
        <v>1910</v>
      </c>
      <c r="B110" s="73" t="s">
        <v>2652</v>
      </c>
      <c r="C110" s="74"/>
      <c r="D110" s="77">
        <v>10</v>
      </c>
      <c r="E110" s="73">
        <f t="shared" si="1"/>
        <v>0</v>
      </c>
      <c r="F110" s="76" t="s">
        <v>1877</v>
      </c>
    </row>
    <row r="111" spans="1:6" x14ac:dyDescent="0.35">
      <c r="A111" s="72" t="s">
        <v>1911</v>
      </c>
      <c r="B111" s="73" t="s">
        <v>2576</v>
      </c>
      <c r="C111" s="74"/>
      <c r="D111" s="77">
        <v>10</v>
      </c>
      <c r="E111" s="73">
        <f t="shared" si="1"/>
        <v>0</v>
      </c>
      <c r="F111" s="76" t="s">
        <v>1877</v>
      </c>
    </row>
    <row r="112" spans="1:6" x14ac:dyDescent="0.35">
      <c r="A112" s="72" t="s">
        <v>1912</v>
      </c>
      <c r="B112" s="73" t="s">
        <v>2437</v>
      </c>
      <c r="C112" s="74"/>
      <c r="D112" s="77">
        <v>10</v>
      </c>
      <c r="E112" s="73">
        <f t="shared" si="1"/>
        <v>0</v>
      </c>
      <c r="F112" s="76" t="s">
        <v>1877</v>
      </c>
    </row>
    <row r="113" spans="1:6" x14ac:dyDescent="0.35">
      <c r="A113" s="72" t="s">
        <v>1913</v>
      </c>
      <c r="B113" s="73" t="s">
        <v>2438</v>
      </c>
      <c r="C113" s="74"/>
      <c r="D113" s="77">
        <v>10</v>
      </c>
      <c r="E113" s="73">
        <f t="shared" si="1"/>
        <v>0</v>
      </c>
      <c r="F113" s="76" t="s">
        <v>1877</v>
      </c>
    </row>
    <row r="114" spans="1:6" x14ac:dyDescent="0.35">
      <c r="A114" s="72" t="s">
        <v>1914</v>
      </c>
      <c r="B114" s="73" t="s">
        <v>2632</v>
      </c>
      <c r="C114" s="74"/>
      <c r="D114" s="77">
        <v>10</v>
      </c>
      <c r="E114" s="73">
        <f t="shared" si="1"/>
        <v>0</v>
      </c>
      <c r="F114" s="76" t="s">
        <v>1877</v>
      </c>
    </row>
    <row r="115" spans="1:6" x14ac:dyDescent="0.35">
      <c r="A115" s="72" t="s">
        <v>1915</v>
      </c>
      <c r="B115" s="73" t="s">
        <v>2562</v>
      </c>
      <c r="C115" s="74"/>
      <c r="D115" s="77">
        <v>10</v>
      </c>
      <c r="E115" s="73">
        <f t="shared" si="1"/>
        <v>0</v>
      </c>
      <c r="F115" s="76" t="s">
        <v>1877</v>
      </c>
    </row>
    <row r="116" spans="1:6" x14ac:dyDescent="0.35">
      <c r="A116" s="72" t="s">
        <v>1916</v>
      </c>
      <c r="B116" s="73" t="s">
        <v>2499</v>
      </c>
      <c r="C116" s="74"/>
      <c r="D116" s="77">
        <v>14</v>
      </c>
      <c r="E116" s="73">
        <f t="shared" si="1"/>
        <v>0</v>
      </c>
      <c r="F116" s="76" t="s">
        <v>1877</v>
      </c>
    </row>
    <row r="117" spans="1:6" x14ac:dyDescent="0.35">
      <c r="A117" s="72" t="s">
        <v>1917</v>
      </c>
      <c r="B117" s="73" t="s">
        <v>2500</v>
      </c>
      <c r="C117" s="74"/>
      <c r="D117" s="77">
        <v>10</v>
      </c>
      <c r="E117" s="73">
        <f t="shared" si="1"/>
        <v>0</v>
      </c>
      <c r="F117" s="76" t="s">
        <v>1877</v>
      </c>
    </row>
    <row r="118" spans="1:6" x14ac:dyDescent="0.35">
      <c r="A118" s="72" t="s">
        <v>1918</v>
      </c>
      <c r="B118" s="73" t="s">
        <v>2501</v>
      </c>
      <c r="C118" s="74"/>
      <c r="D118" s="77">
        <v>10</v>
      </c>
      <c r="E118" s="73">
        <f t="shared" si="1"/>
        <v>0</v>
      </c>
      <c r="F118" s="76" t="s">
        <v>1877</v>
      </c>
    </row>
    <row r="119" spans="1:6" x14ac:dyDescent="0.35">
      <c r="A119" s="78" t="s">
        <v>1919</v>
      </c>
      <c r="B119" s="75" t="s">
        <v>1920</v>
      </c>
      <c r="C119" s="74"/>
      <c r="D119" s="74">
        <v>5</v>
      </c>
      <c r="E119" s="73">
        <f t="shared" si="1"/>
        <v>0</v>
      </c>
      <c r="F119" s="76" t="s">
        <v>1877</v>
      </c>
    </row>
    <row r="120" spans="1:6" x14ac:dyDescent="0.35">
      <c r="A120" s="72" t="s">
        <v>1921</v>
      </c>
      <c r="B120" s="73" t="s">
        <v>1922</v>
      </c>
      <c r="C120" s="74"/>
      <c r="D120" s="77">
        <v>14</v>
      </c>
      <c r="E120" s="73">
        <f t="shared" si="1"/>
        <v>0</v>
      </c>
      <c r="F120" s="76" t="s">
        <v>1877</v>
      </c>
    </row>
    <row r="121" spans="1:6" x14ac:dyDescent="0.35">
      <c r="A121" s="72" t="s">
        <v>1923</v>
      </c>
      <c r="B121" s="73" t="s">
        <v>2563</v>
      </c>
      <c r="C121" s="74"/>
      <c r="D121" s="77">
        <v>10</v>
      </c>
      <c r="E121" s="73">
        <f t="shared" si="1"/>
        <v>0</v>
      </c>
      <c r="F121" s="76" t="s">
        <v>1924</v>
      </c>
    </row>
    <row r="122" spans="1:6" x14ac:dyDescent="0.35">
      <c r="A122" s="72" t="s">
        <v>1925</v>
      </c>
      <c r="B122" s="73" t="s">
        <v>2564</v>
      </c>
      <c r="C122" s="74"/>
      <c r="D122" s="77">
        <v>10</v>
      </c>
      <c r="E122" s="73">
        <f t="shared" si="1"/>
        <v>0</v>
      </c>
      <c r="F122" s="76" t="s">
        <v>1924</v>
      </c>
    </row>
    <row r="123" spans="1:6" x14ac:dyDescent="0.35">
      <c r="A123" s="72" t="s">
        <v>1926</v>
      </c>
      <c r="B123" s="73" t="s">
        <v>2653</v>
      </c>
      <c r="C123" s="74"/>
      <c r="D123" s="77">
        <v>3</v>
      </c>
      <c r="E123" s="73">
        <f t="shared" si="1"/>
        <v>0</v>
      </c>
      <c r="F123" s="76" t="s">
        <v>1924</v>
      </c>
    </row>
    <row r="124" spans="1:6" x14ac:dyDescent="0.35">
      <c r="A124" s="72" t="s">
        <v>1927</v>
      </c>
      <c r="B124" s="73" t="s">
        <v>2633</v>
      </c>
      <c r="C124" s="74"/>
      <c r="D124" s="77">
        <v>3</v>
      </c>
      <c r="E124" s="73">
        <f t="shared" si="1"/>
        <v>0</v>
      </c>
      <c r="F124" s="76" t="s">
        <v>1924</v>
      </c>
    </row>
    <row r="125" spans="1:6" x14ac:dyDescent="0.35">
      <c r="A125" s="72" t="s">
        <v>1928</v>
      </c>
      <c r="B125" s="73" t="s">
        <v>2654</v>
      </c>
      <c r="C125" s="74"/>
      <c r="D125" s="77">
        <v>3</v>
      </c>
      <c r="E125" s="73">
        <f t="shared" si="1"/>
        <v>0</v>
      </c>
      <c r="F125" s="76" t="s">
        <v>1924</v>
      </c>
    </row>
    <row r="126" spans="1:6" x14ac:dyDescent="0.35">
      <c r="A126" s="72" t="s">
        <v>1929</v>
      </c>
      <c r="B126" s="73" t="s">
        <v>2710</v>
      </c>
      <c r="C126" s="74"/>
      <c r="D126" s="77">
        <v>10</v>
      </c>
      <c r="E126" s="73">
        <f t="shared" si="1"/>
        <v>0</v>
      </c>
      <c r="F126" s="76" t="s">
        <v>1924</v>
      </c>
    </row>
    <row r="127" spans="1:6" x14ac:dyDescent="0.35">
      <c r="A127" s="72" t="s">
        <v>1930</v>
      </c>
      <c r="B127" s="73" t="s">
        <v>2711</v>
      </c>
      <c r="C127" s="74"/>
      <c r="D127" s="77">
        <v>10</v>
      </c>
      <c r="E127" s="73">
        <f t="shared" si="1"/>
        <v>0</v>
      </c>
      <c r="F127" s="76" t="s">
        <v>1924</v>
      </c>
    </row>
    <row r="128" spans="1:6" x14ac:dyDescent="0.35">
      <c r="A128" s="72" t="s">
        <v>1931</v>
      </c>
      <c r="B128" s="73" t="s">
        <v>2712</v>
      </c>
      <c r="C128" s="74"/>
      <c r="D128" s="77">
        <v>3</v>
      </c>
      <c r="E128" s="73">
        <f t="shared" si="1"/>
        <v>0</v>
      </c>
      <c r="F128" s="76" t="s">
        <v>1924</v>
      </c>
    </row>
    <row r="129" spans="1:6" x14ac:dyDescent="0.35">
      <c r="A129" s="72" t="s">
        <v>1932</v>
      </c>
      <c r="B129" s="73" t="s">
        <v>2439</v>
      </c>
      <c r="C129" s="74"/>
      <c r="D129" s="77">
        <v>5</v>
      </c>
      <c r="E129" s="73">
        <f t="shared" si="1"/>
        <v>0</v>
      </c>
      <c r="F129" s="76" t="s">
        <v>1924</v>
      </c>
    </row>
    <row r="130" spans="1:6" x14ac:dyDescent="0.35">
      <c r="A130" s="72" t="s">
        <v>1933</v>
      </c>
      <c r="B130" s="73" t="s">
        <v>1934</v>
      </c>
      <c r="C130" s="74"/>
      <c r="D130" s="77">
        <v>10</v>
      </c>
      <c r="E130" s="73">
        <f t="shared" si="1"/>
        <v>0</v>
      </c>
      <c r="F130" s="76" t="s">
        <v>1924</v>
      </c>
    </row>
    <row r="131" spans="1:6" x14ac:dyDescent="0.35">
      <c r="A131" s="72" t="s">
        <v>1935</v>
      </c>
      <c r="B131" s="73" t="s">
        <v>1936</v>
      </c>
      <c r="C131" s="74"/>
      <c r="D131" s="77">
        <v>5</v>
      </c>
      <c r="E131" s="73">
        <f t="shared" si="1"/>
        <v>0</v>
      </c>
      <c r="F131" s="76" t="s">
        <v>1924</v>
      </c>
    </row>
    <row r="132" spans="1:6" x14ac:dyDescent="0.35">
      <c r="A132" s="72" t="s">
        <v>1937</v>
      </c>
      <c r="B132" s="73" t="s">
        <v>2440</v>
      </c>
      <c r="C132" s="74"/>
      <c r="D132" s="77">
        <v>3</v>
      </c>
      <c r="E132" s="73">
        <f t="shared" si="1"/>
        <v>0</v>
      </c>
      <c r="F132" s="76" t="s">
        <v>1924</v>
      </c>
    </row>
    <row r="133" spans="1:6" x14ac:dyDescent="0.35">
      <c r="A133" s="72" t="s">
        <v>1938</v>
      </c>
      <c r="B133" s="73" t="s">
        <v>2441</v>
      </c>
      <c r="C133" s="74"/>
      <c r="D133" s="77">
        <v>3</v>
      </c>
      <c r="E133" s="73">
        <f t="shared" si="1"/>
        <v>0</v>
      </c>
      <c r="F133" s="76" t="s">
        <v>1924</v>
      </c>
    </row>
    <row r="134" spans="1:6" x14ac:dyDescent="0.35">
      <c r="A134" s="72" t="s">
        <v>1939</v>
      </c>
      <c r="B134" s="73" t="s">
        <v>2502</v>
      </c>
      <c r="C134" s="74"/>
      <c r="D134" s="77">
        <v>10</v>
      </c>
      <c r="E134" s="73">
        <f t="shared" si="1"/>
        <v>0</v>
      </c>
      <c r="F134" s="76" t="s">
        <v>1924</v>
      </c>
    </row>
    <row r="135" spans="1:6" x14ac:dyDescent="0.35">
      <c r="A135" s="72" t="s">
        <v>1940</v>
      </c>
      <c r="B135" s="73" t="s">
        <v>2503</v>
      </c>
      <c r="C135" s="74"/>
      <c r="D135" s="77">
        <v>14</v>
      </c>
      <c r="E135" s="73">
        <f t="shared" si="1"/>
        <v>0</v>
      </c>
      <c r="F135" s="76" t="s">
        <v>1924</v>
      </c>
    </row>
    <row r="136" spans="1:6" x14ac:dyDescent="0.35">
      <c r="A136" s="72" t="s">
        <v>1941</v>
      </c>
      <c r="B136" s="73" t="s">
        <v>2713</v>
      </c>
      <c r="C136" s="74"/>
      <c r="D136" s="77">
        <v>15</v>
      </c>
      <c r="E136" s="73">
        <f t="shared" si="1"/>
        <v>0</v>
      </c>
      <c r="F136" s="76" t="s">
        <v>1924</v>
      </c>
    </row>
    <row r="137" spans="1:6" x14ac:dyDescent="0.35">
      <c r="A137" s="72" t="s">
        <v>1942</v>
      </c>
      <c r="B137" s="73" t="s">
        <v>2714</v>
      </c>
      <c r="C137" s="74"/>
      <c r="D137" s="77">
        <v>15</v>
      </c>
      <c r="E137" s="73">
        <f t="shared" si="1"/>
        <v>0</v>
      </c>
      <c r="F137" s="76" t="s">
        <v>1924</v>
      </c>
    </row>
    <row r="138" spans="1:6" x14ac:dyDescent="0.35">
      <c r="A138" s="72" t="s">
        <v>1943</v>
      </c>
      <c r="B138" s="73" t="s">
        <v>2504</v>
      </c>
      <c r="C138" s="74"/>
      <c r="D138" s="77">
        <v>10</v>
      </c>
      <c r="E138" s="73">
        <f t="shared" si="1"/>
        <v>0</v>
      </c>
      <c r="F138" s="76" t="s">
        <v>1924</v>
      </c>
    </row>
    <row r="139" spans="1:6" x14ac:dyDescent="0.35">
      <c r="A139" s="72" t="s">
        <v>1944</v>
      </c>
      <c r="B139" s="73" t="s">
        <v>2674</v>
      </c>
      <c r="C139" s="74"/>
      <c r="D139" s="77">
        <v>3</v>
      </c>
      <c r="E139" s="73">
        <f t="shared" si="1"/>
        <v>0</v>
      </c>
      <c r="F139" s="76" t="s">
        <v>1924</v>
      </c>
    </row>
    <row r="140" spans="1:6" x14ac:dyDescent="0.35">
      <c r="A140" s="72" t="s">
        <v>1945</v>
      </c>
      <c r="B140" s="73" t="s">
        <v>2675</v>
      </c>
      <c r="C140" s="74"/>
      <c r="D140" s="77">
        <v>3</v>
      </c>
      <c r="E140" s="73">
        <f t="shared" si="1"/>
        <v>0</v>
      </c>
      <c r="F140" s="76" t="s">
        <v>1924</v>
      </c>
    </row>
    <row r="141" spans="1:6" x14ac:dyDescent="0.35">
      <c r="A141" s="72" t="s">
        <v>1946</v>
      </c>
      <c r="B141" s="73" t="s">
        <v>2676</v>
      </c>
      <c r="C141" s="74"/>
      <c r="D141" s="77">
        <v>3</v>
      </c>
      <c r="E141" s="73">
        <f t="shared" si="1"/>
        <v>0</v>
      </c>
      <c r="F141" s="76" t="s">
        <v>1924</v>
      </c>
    </row>
    <row r="142" spans="1:6" x14ac:dyDescent="0.35">
      <c r="A142" s="72" t="s">
        <v>1947</v>
      </c>
      <c r="B142" s="73" t="s">
        <v>1948</v>
      </c>
      <c r="C142" s="74"/>
      <c r="D142" s="77">
        <v>3</v>
      </c>
      <c r="E142" s="73">
        <f t="shared" si="1"/>
        <v>0</v>
      </c>
      <c r="F142" s="76" t="s">
        <v>1924</v>
      </c>
    </row>
    <row r="143" spans="1:6" x14ac:dyDescent="0.35">
      <c r="A143" s="72" t="s">
        <v>1949</v>
      </c>
      <c r="B143" s="73" t="s">
        <v>2693</v>
      </c>
      <c r="C143" s="74"/>
      <c r="D143" s="77">
        <v>3</v>
      </c>
      <c r="E143" s="73">
        <f t="shared" ref="E143:E211" si="2">C143/D143</f>
        <v>0</v>
      </c>
      <c r="F143" s="76" t="s">
        <v>1924</v>
      </c>
    </row>
    <row r="144" spans="1:6" x14ac:dyDescent="0.35">
      <c r="A144" s="72" t="s">
        <v>1950</v>
      </c>
      <c r="B144" s="73" t="s">
        <v>2694</v>
      </c>
      <c r="C144" s="74"/>
      <c r="D144" s="77">
        <v>3</v>
      </c>
      <c r="E144" s="73">
        <f t="shared" si="2"/>
        <v>0</v>
      </c>
      <c r="F144" s="76" t="s">
        <v>1924</v>
      </c>
    </row>
    <row r="145" spans="1:6" x14ac:dyDescent="0.35">
      <c r="A145" s="72" t="s">
        <v>1951</v>
      </c>
      <c r="B145" s="73" t="s">
        <v>2565</v>
      </c>
      <c r="C145" s="74"/>
      <c r="D145" s="77">
        <v>3</v>
      </c>
      <c r="E145" s="73">
        <f t="shared" si="2"/>
        <v>0</v>
      </c>
      <c r="F145" s="76" t="s">
        <v>1924</v>
      </c>
    </row>
    <row r="146" spans="1:6" x14ac:dyDescent="0.35">
      <c r="A146" s="72" t="s">
        <v>1952</v>
      </c>
      <c r="B146" s="73" t="s">
        <v>1953</v>
      </c>
      <c r="C146" s="74"/>
      <c r="D146" s="77">
        <v>10</v>
      </c>
      <c r="E146" s="73">
        <f t="shared" si="2"/>
        <v>0</v>
      </c>
      <c r="F146" s="76" t="s">
        <v>1924</v>
      </c>
    </row>
    <row r="147" spans="1:6" x14ac:dyDescent="0.35">
      <c r="A147" s="72" t="s">
        <v>1954</v>
      </c>
      <c r="B147" s="73" t="s">
        <v>1955</v>
      </c>
      <c r="C147" s="74"/>
      <c r="D147" s="77">
        <v>10</v>
      </c>
      <c r="E147" s="73">
        <f t="shared" si="2"/>
        <v>0</v>
      </c>
      <c r="F147" s="76" t="s">
        <v>1924</v>
      </c>
    </row>
    <row r="148" spans="1:6" x14ac:dyDescent="0.35">
      <c r="A148" s="72" t="s">
        <v>1956</v>
      </c>
      <c r="B148" s="73" t="s">
        <v>1957</v>
      </c>
      <c r="C148" s="74"/>
      <c r="D148" s="77">
        <v>3</v>
      </c>
      <c r="E148" s="73">
        <f t="shared" si="2"/>
        <v>0</v>
      </c>
      <c r="F148" s="76" t="s">
        <v>1924</v>
      </c>
    </row>
    <row r="149" spans="1:6" x14ac:dyDescent="0.35">
      <c r="A149" s="72" t="s">
        <v>1958</v>
      </c>
      <c r="B149" s="73" t="s">
        <v>2715</v>
      </c>
      <c r="C149" s="74"/>
      <c r="D149" s="77">
        <v>6</v>
      </c>
      <c r="E149" s="73">
        <f t="shared" si="2"/>
        <v>0</v>
      </c>
      <c r="F149" s="76" t="s">
        <v>1924</v>
      </c>
    </row>
    <row r="150" spans="1:6" x14ac:dyDescent="0.35">
      <c r="A150" s="72" t="s">
        <v>1959</v>
      </c>
      <c r="B150" s="73" t="s">
        <v>2716</v>
      </c>
      <c r="C150" s="74"/>
      <c r="D150" s="77">
        <v>6</v>
      </c>
      <c r="E150" s="73">
        <f t="shared" si="2"/>
        <v>0</v>
      </c>
      <c r="F150" s="76" t="s">
        <v>1924</v>
      </c>
    </row>
    <row r="151" spans="1:6" x14ac:dyDescent="0.35">
      <c r="A151" s="72" t="s">
        <v>1960</v>
      </c>
      <c r="B151" s="73" t="s">
        <v>2717</v>
      </c>
      <c r="C151" s="74"/>
      <c r="D151" s="77">
        <v>10</v>
      </c>
      <c r="E151" s="73">
        <f t="shared" si="2"/>
        <v>0</v>
      </c>
      <c r="F151" s="76" t="s">
        <v>1924</v>
      </c>
    </row>
    <row r="152" spans="1:6" x14ac:dyDescent="0.35">
      <c r="A152" s="72" t="s">
        <v>1961</v>
      </c>
      <c r="B152" s="73" t="s">
        <v>2718</v>
      </c>
      <c r="C152" s="74"/>
      <c r="D152" s="77">
        <v>10</v>
      </c>
      <c r="E152" s="73">
        <f t="shared" si="2"/>
        <v>0</v>
      </c>
      <c r="F152" s="76" t="s">
        <v>1924</v>
      </c>
    </row>
    <row r="153" spans="1:6" x14ac:dyDescent="0.35">
      <c r="A153" s="72" t="s">
        <v>1962</v>
      </c>
      <c r="B153" s="73" t="s">
        <v>2634</v>
      </c>
      <c r="C153" s="74"/>
      <c r="D153" s="77">
        <v>10</v>
      </c>
      <c r="E153" s="73">
        <f t="shared" si="2"/>
        <v>0</v>
      </c>
      <c r="F153" s="76" t="s">
        <v>1924</v>
      </c>
    </row>
    <row r="154" spans="1:6" x14ac:dyDescent="0.35">
      <c r="A154" s="72" t="s">
        <v>1963</v>
      </c>
      <c r="B154" s="73" t="s">
        <v>2635</v>
      </c>
      <c r="C154" s="74"/>
      <c r="D154" s="77">
        <v>10</v>
      </c>
      <c r="E154" s="73">
        <f t="shared" si="2"/>
        <v>0</v>
      </c>
      <c r="F154" s="76" t="s">
        <v>1924</v>
      </c>
    </row>
    <row r="155" spans="1:6" x14ac:dyDescent="0.35">
      <c r="A155" s="72" t="s">
        <v>1964</v>
      </c>
      <c r="B155" s="73" t="s">
        <v>1965</v>
      </c>
      <c r="C155" s="74"/>
      <c r="D155" s="77">
        <v>10</v>
      </c>
      <c r="E155" s="73">
        <f t="shared" si="2"/>
        <v>0</v>
      </c>
      <c r="F155" s="76" t="s">
        <v>1924</v>
      </c>
    </row>
    <row r="156" spans="1:6" ht="18" customHeight="1" x14ac:dyDescent="0.35">
      <c r="A156" s="72" t="s">
        <v>1966</v>
      </c>
      <c r="B156" s="73" t="s">
        <v>2736</v>
      </c>
      <c r="C156" s="74"/>
      <c r="D156" s="77">
        <v>3</v>
      </c>
      <c r="E156" s="73">
        <f t="shared" si="2"/>
        <v>0</v>
      </c>
      <c r="F156" s="76" t="s">
        <v>1924</v>
      </c>
    </row>
    <row r="157" spans="1:6" x14ac:dyDescent="0.35">
      <c r="A157" s="72" t="s">
        <v>1967</v>
      </c>
      <c r="B157" s="73" t="s">
        <v>1968</v>
      </c>
      <c r="C157" s="74"/>
      <c r="D157" s="77">
        <v>10</v>
      </c>
      <c r="E157" s="73">
        <f t="shared" si="2"/>
        <v>0</v>
      </c>
      <c r="F157" s="76" t="s">
        <v>1924</v>
      </c>
    </row>
    <row r="158" spans="1:6" ht="18" customHeight="1" x14ac:dyDescent="0.35">
      <c r="A158" s="72" t="s">
        <v>1969</v>
      </c>
      <c r="B158" s="73" t="s">
        <v>1970</v>
      </c>
      <c r="C158" s="74"/>
      <c r="D158" s="77">
        <v>10</v>
      </c>
      <c r="E158" s="73">
        <f t="shared" si="2"/>
        <v>0</v>
      </c>
      <c r="F158" s="76" t="s">
        <v>1924</v>
      </c>
    </row>
    <row r="159" spans="1:6" x14ac:dyDescent="0.35">
      <c r="A159" s="72" t="s">
        <v>1971</v>
      </c>
      <c r="B159" s="73" t="s">
        <v>1972</v>
      </c>
      <c r="C159" s="74"/>
      <c r="D159" s="77">
        <v>10</v>
      </c>
      <c r="E159" s="73">
        <f t="shared" si="2"/>
        <v>0</v>
      </c>
      <c r="F159" s="76" t="s">
        <v>1924</v>
      </c>
    </row>
    <row r="160" spans="1:6" ht="18" customHeight="1" x14ac:dyDescent="0.35">
      <c r="A160" s="72" t="s">
        <v>1973</v>
      </c>
      <c r="B160" s="73" t="s">
        <v>2505</v>
      </c>
      <c r="C160" s="74"/>
      <c r="D160" s="77">
        <v>10</v>
      </c>
      <c r="E160" s="73">
        <f t="shared" si="2"/>
        <v>0</v>
      </c>
      <c r="F160" s="76" t="s">
        <v>1974</v>
      </c>
    </row>
    <row r="161" spans="1:6" x14ac:dyDescent="0.35">
      <c r="A161" s="72" t="s">
        <v>1975</v>
      </c>
      <c r="B161" s="73" t="s">
        <v>2506</v>
      </c>
      <c r="C161" s="74"/>
      <c r="D161" s="77">
        <v>10</v>
      </c>
      <c r="E161" s="73">
        <f t="shared" si="2"/>
        <v>0</v>
      </c>
      <c r="F161" s="76" t="s">
        <v>1974</v>
      </c>
    </row>
    <row r="162" spans="1:6" ht="18" customHeight="1" x14ac:dyDescent="0.35">
      <c r="A162" s="72" t="s">
        <v>1976</v>
      </c>
      <c r="B162" s="73" t="s">
        <v>1977</v>
      </c>
      <c r="C162" s="74"/>
      <c r="D162" s="77">
        <v>10</v>
      </c>
      <c r="E162" s="73">
        <f t="shared" si="2"/>
        <v>0</v>
      </c>
      <c r="F162" s="76" t="s">
        <v>1974</v>
      </c>
    </row>
    <row r="163" spans="1:6" x14ac:dyDescent="0.35">
      <c r="A163" s="72" t="s">
        <v>1978</v>
      </c>
      <c r="B163" s="73" t="s">
        <v>1979</v>
      </c>
      <c r="C163" s="74"/>
      <c r="D163" s="77">
        <v>3</v>
      </c>
      <c r="E163" s="73">
        <f t="shared" si="2"/>
        <v>0</v>
      </c>
      <c r="F163" s="76" t="s">
        <v>1974</v>
      </c>
    </row>
    <row r="164" spans="1:6" ht="18" customHeight="1" x14ac:dyDescent="0.35">
      <c r="A164" s="72" t="s">
        <v>1980</v>
      </c>
      <c r="B164" s="73" t="s">
        <v>1981</v>
      </c>
      <c r="C164" s="74"/>
      <c r="D164" s="77">
        <v>3</v>
      </c>
      <c r="E164" s="73">
        <f t="shared" si="2"/>
        <v>0</v>
      </c>
      <c r="F164" s="76" t="s">
        <v>1974</v>
      </c>
    </row>
    <row r="165" spans="1:6" x14ac:dyDescent="0.35">
      <c r="A165" s="72" t="s">
        <v>1982</v>
      </c>
      <c r="B165" s="73" t="s">
        <v>2507</v>
      </c>
      <c r="C165" s="74"/>
      <c r="D165" s="77">
        <v>10</v>
      </c>
      <c r="E165" s="73">
        <f t="shared" si="2"/>
        <v>0</v>
      </c>
      <c r="F165" s="76" t="s">
        <v>1974</v>
      </c>
    </row>
    <row r="166" spans="1:6" ht="18" customHeight="1" x14ac:dyDescent="0.35">
      <c r="A166" s="72" t="s">
        <v>1983</v>
      </c>
      <c r="B166" s="73" t="s">
        <v>1984</v>
      </c>
      <c r="C166" s="74"/>
      <c r="D166" s="77">
        <v>10</v>
      </c>
      <c r="E166" s="73">
        <f t="shared" si="2"/>
        <v>0</v>
      </c>
      <c r="F166" s="76" t="s">
        <v>1974</v>
      </c>
    </row>
    <row r="167" spans="1:6" x14ac:dyDescent="0.35">
      <c r="A167" s="72" t="s">
        <v>1985</v>
      </c>
      <c r="B167" s="73" t="s">
        <v>2655</v>
      </c>
      <c r="C167" s="74"/>
      <c r="D167" s="77">
        <v>10</v>
      </c>
      <c r="E167" s="73">
        <f t="shared" si="2"/>
        <v>0</v>
      </c>
      <c r="F167" s="76" t="s">
        <v>1974</v>
      </c>
    </row>
    <row r="168" spans="1:6" ht="18" customHeight="1" x14ac:dyDescent="0.35">
      <c r="A168" s="72" t="s">
        <v>1986</v>
      </c>
      <c r="B168" s="73" t="s">
        <v>2636</v>
      </c>
      <c r="C168" s="74"/>
      <c r="D168" s="77">
        <v>10</v>
      </c>
      <c r="E168" s="73">
        <f t="shared" si="2"/>
        <v>0</v>
      </c>
      <c r="F168" s="76" t="s">
        <v>1974</v>
      </c>
    </row>
    <row r="169" spans="1:6" x14ac:dyDescent="0.35">
      <c r="A169" s="72" t="s">
        <v>1987</v>
      </c>
      <c r="B169" s="73" t="s">
        <v>2656</v>
      </c>
      <c r="C169" s="74"/>
      <c r="D169" s="77">
        <v>10</v>
      </c>
      <c r="E169" s="73">
        <f t="shared" si="2"/>
        <v>0</v>
      </c>
      <c r="F169" s="76" t="s">
        <v>1974</v>
      </c>
    </row>
    <row r="170" spans="1:6" ht="18" customHeight="1" x14ac:dyDescent="0.35">
      <c r="A170" s="72" t="s">
        <v>1988</v>
      </c>
      <c r="B170" s="73" t="s">
        <v>1989</v>
      </c>
      <c r="C170" s="74"/>
      <c r="D170" s="77">
        <v>10</v>
      </c>
      <c r="E170" s="73">
        <f t="shared" si="2"/>
        <v>0</v>
      </c>
      <c r="F170" s="76" t="s">
        <v>1974</v>
      </c>
    </row>
    <row r="171" spans="1:6" x14ac:dyDescent="0.35">
      <c r="A171" s="72" t="s">
        <v>1990</v>
      </c>
      <c r="B171" s="73" t="s">
        <v>1991</v>
      </c>
      <c r="C171" s="74"/>
      <c r="D171" s="77">
        <v>3</v>
      </c>
      <c r="E171" s="73">
        <f t="shared" si="2"/>
        <v>0</v>
      </c>
      <c r="F171" s="76" t="s">
        <v>1974</v>
      </c>
    </row>
    <row r="172" spans="1:6" x14ac:dyDescent="0.35">
      <c r="A172" s="72" t="s">
        <v>1992</v>
      </c>
      <c r="B172" s="73" t="s">
        <v>1993</v>
      </c>
      <c r="C172" s="74"/>
      <c r="D172" s="77">
        <v>3</v>
      </c>
      <c r="E172" s="73"/>
      <c r="F172" s="76" t="s">
        <v>1974</v>
      </c>
    </row>
    <row r="173" spans="1:6" ht="18" customHeight="1" x14ac:dyDescent="0.35">
      <c r="A173" s="72" t="s">
        <v>1994</v>
      </c>
      <c r="B173" s="73" t="s">
        <v>2637</v>
      </c>
      <c r="C173" s="74">
        <v>1</v>
      </c>
      <c r="D173" s="77">
        <v>10</v>
      </c>
      <c r="E173" s="73">
        <f t="shared" si="2"/>
        <v>0.1</v>
      </c>
      <c r="F173" s="76" t="s">
        <v>1974</v>
      </c>
    </row>
    <row r="174" spans="1:6" x14ac:dyDescent="0.35">
      <c r="A174" s="72" t="s">
        <v>1995</v>
      </c>
      <c r="B174" s="73" t="s">
        <v>2442</v>
      </c>
      <c r="C174" s="74">
        <v>1</v>
      </c>
      <c r="D174" s="77">
        <v>3</v>
      </c>
      <c r="E174" s="73">
        <f t="shared" si="2"/>
        <v>0.33333333333333331</v>
      </c>
      <c r="F174" s="76" t="s">
        <v>1974</v>
      </c>
    </row>
    <row r="175" spans="1:6" ht="18" customHeight="1" x14ac:dyDescent="0.35">
      <c r="A175" s="72" t="s">
        <v>1996</v>
      </c>
      <c r="B175" s="73" t="s">
        <v>2443</v>
      </c>
      <c r="C175" s="74">
        <v>1</v>
      </c>
      <c r="D175" s="77">
        <v>10</v>
      </c>
      <c r="E175" s="73">
        <f t="shared" si="2"/>
        <v>0.1</v>
      </c>
      <c r="F175" s="76" t="s">
        <v>1974</v>
      </c>
    </row>
    <row r="176" spans="1:6" x14ac:dyDescent="0.35">
      <c r="A176" s="72" t="s">
        <v>1997</v>
      </c>
      <c r="B176" s="73" t="s">
        <v>2444</v>
      </c>
      <c r="C176" s="74">
        <v>1</v>
      </c>
      <c r="D176" s="77">
        <v>10</v>
      </c>
      <c r="E176" s="73">
        <f t="shared" si="2"/>
        <v>0.1</v>
      </c>
      <c r="F176" s="76" t="s">
        <v>1974</v>
      </c>
    </row>
    <row r="177" spans="1:6" ht="18" customHeight="1" x14ac:dyDescent="0.35">
      <c r="A177" s="72" t="s">
        <v>1998</v>
      </c>
      <c r="B177" s="73" t="s">
        <v>2445</v>
      </c>
      <c r="C177" s="74">
        <v>1</v>
      </c>
      <c r="D177" s="77">
        <v>10</v>
      </c>
      <c r="E177" s="73">
        <f t="shared" si="2"/>
        <v>0.1</v>
      </c>
      <c r="F177" s="76" t="s">
        <v>1974</v>
      </c>
    </row>
    <row r="178" spans="1:6" x14ac:dyDescent="0.35">
      <c r="A178" s="72" t="s">
        <v>1999</v>
      </c>
      <c r="B178" s="73" t="s">
        <v>2508</v>
      </c>
      <c r="C178" s="74">
        <v>1</v>
      </c>
      <c r="D178" s="77">
        <v>5</v>
      </c>
      <c r="E178" s="73">
        <f t="shared" si="2"/>
        <v>0.2</v>
      </c>
      <c r="F178" s="76" t="s">
        <v>1974</v>
      </c>
    </row>
    <row r="179" spans="1:6" ht="18" customHeight="1" x14ac:dyDescent="0.35">
      <c r="A179" s="72" t="s">
        <v>2000</v>
      </c>
      <c r="B179" s="73" t="s">
        <v>2509</v>
      </c>
      <c r="C179" s="74">
        <v>1</v>
      </c>
      <c r="D179" s="77">
        <v>5</v>
      </c>
      <c r="E179" s="73">
        <f t="shared" si="2"/>
        <v>0.2</v>
      </c>
      <c r="F179" s="76" t="s">
        <v>1974</v>
      </c>
    </row>
    <row r="180" spans="1:6" x14ac:dyDescent="0.35">
      <c r="A180" s="72" t="s">
        <v>2001</v>
      </c>
      <c r="B180" s="73" t="s">
        <v>2002</v>
      </c>
      <c r="C180" s="74">
        <v>1</v>
      </c>
      <c r="D180" s="77">
        <v>5</v>
      </c>
      <c r="E180" s="73">
        <f t="shared" si="2"/>
        <v>0.2</v>
      </c>
      <c r="F180" s="76" t="s">
        <v>1974</v>
      </c>
    </row>
    <row r="181" spans="1:6" ht="18" customHeight="1" x14ac:dyDescent="0.35">
      <c r="A181" s="72" t="s">
        <v>2003</v>
      </c>
      <c r="B181" s="73" t="s">
        <v>2004</v>
      </c>
      <c r="C181" s="74">
        <v>1</v>
      </c>
      <c r="D181" s="77">
        <v>3</v>
      </c>
      <c r="E181" s="73">
        <f t="shared" si="2"/>
        <v>0.33333333333333331</v>
      </c>
      <c r="F181" s="76" t="s">
        <v>1974</v>
      </c>
    </row>
    <row r="182" spans="1:6" x14ac:dyDescent="0.35">
      <c r="A182" s="72" t="s">
        <v>2005</v>
      </c>
      <c r="B182" s="73" t="s">
        <v>2606</v>
      </c>
      <c r="C182" s="74">
        <v>1</v>
      </c>
      <c r="D182" s="77">
        <v>10</v>
      </c>
      <c r="E182" s="73">
        <f t="shared" si="2"/>
        <v>0.1</v>
      </c>
      <c r="F182" s="76" t="s">
        <v>1974</v>
      </c>
    </row>
    <row r="183" spans="1:6" ht="18" customHeight="1" x14ac:dyDescent="0.35">
      <c r="A183" s="72" t="s">
        <v>2006</v>
      </c>
      <c r="B183" s="73" t="s">
        <v>2607</v>
      </c>
      <c r="C183" s="74">
        <v>1</v>
      </c>
      <c r="D183" s="77">
        <v>10</v>
      </c>
      <c r="E183" s="73">
        <f t="shared" si="2"/>
        <v>0.1</v>
      </c>
      <c r="F183" s="76" t="s">
        <v>1974</v>
      </c>
    </row>
    <row r="184" spans="1:6" x14ac:dyDescent="0.35">
      <c r="A184" s="72" t="s">
        <v>2007</v>
      </c>
      <c r="B184" s="73" t="s">
        <v>2008</v>
      </c>
      <c r="C184" s="74">
        <v>1</v>
      </c>
      <c r="D184" s="77">
        <v>10</v>
      </c>
      <c r="E184" s="73">
        <f t="shared" si="2"/>
        <v>0.1</v>
      </c>
      <c r="F184" s="76" t="s">
        <v>1974</v>
      </c>
    </row>
    <row r="185" spans="1:6" ht="18" customHeight="1" x14ac:dyDescent="0.35">
      <c r="A185" s="72" t="s">
        <v>2009</v>
      </c>
      <c r="B185" s="73" t="s">
        <v>2010</v>
      </c>
      <c r="C185" s="74">
        <v>1</v>
      </c>
      <c r="D185" s="77">
        <v>10</v>
      </c>
      <c r="E185" s="73">
        <f t="shared" si="2"/>
        <v>0.1</v>
      </c>
      <c r="F185" s="76" t="s">
        <v>1974</v>
      </c>
    </row>
    <row r="186" spans="1:6" ht="18" customHeight="1" x14ac:dyDescent="0.35">
      <c r="A186" s="72" t="s">
        <v>2011</v>
      </c>
      <c r="B186" s="73" t="s">
        <v>2012</v>
      </c>
      <c r="C186" s="74">
        <v>1</v>
      </c>
      <c r="D186" s="77">
        <v>3</v>
      </c>
      <c r="E186" s="73">
        <f t="shared" si="2"/>
        <v>0.33333333333333331</v>
      </c>
      <c r="F186" s="76" t="s">
        <v>1974</v>
      </c>
    </row>
    <row r="187" spans="1:6" ht="18" customHeight="1" x14ac:dyDescent="0.35">
      <c r="A187" s="72" t="s">
        <v>2013</v>
      </c>
      <c r="B187" s="73" t="s">
        <v>2008</v>
      </c>
      <c r="C187" s="74">
        <v>1</v>
      </c>
      <c r="D187" s="77">
        <v>3</v>
      </c>
      <c r="E187" s="73">
        <f t="shared" si="2"/>
        <v>0.33333333333333331</v>
      </c>
      <c r="F187" s="76" t="s">
        <v>1974</v>
      </c>
    </row>
    <row r="188" spans="1:6" ht="18" customHeight="1" x14ac:dyDescent="0.35">
      <c r="A188" s="72" t="s">
        <v>2014</v>
      </c>
      <c r="B188" s="73" t="s">
        <v>2010</v>
      </c>
      <c r="C188" s="74">
        <v>1</v>
      </c>
      <c r="D188" s="77">
        <v>3</v>
      </c>
      <c r="E188" s="73">
        <f t="shared" si="2"/>
        <v>0.33333333333333331</v>
      </c>
      <c r="F188" s="76" t="s">
        <v>1974</v>
      </c>
    </row>
    <row r="189" spans="1:6" x14ac:dyDescent="0.35">
      <c r="A189" s="72" t="s">
        <v>2015</v>
      </c>
      <c r="B189" s="73" t="s">
        <v>2446</v>
      </c>
      <c r="C189" s="74">
        <v>1</v>
      </c>
      <c r="D189" s="77">
        <v>10</v>
      </c>
      <c r="E189" s="73">
        <f t="shared" si="2"/>
        <v>0.1</v>
      </c>
      <c r="F189" s="76" t="s">
        <v>1974</v>
      </c>
    </row>
    <row r="190" spans="1:6" ht="18" customHeight="1" x14ac:dyDescent="0.35">
      <c r="A190" s="72" t="s">
        <v>2016</v>
      </c>
      <c r="B190" s="73" t="s">
        <v>2447</v>
      </c>
      <c r="C190" s="74">
        <v>1</v>
      </c>
      <c r="D190" s="77">
        <v>10</v>
      </c>
      <c r="E190" s="73">
        <f t="shared" si="2"/>
        <v>0.1</v>
      </c>
      <c r="F190" s="76" t="s">
        <v>1974</v>
      </c>
    </row>
    <row r="191" spans="1:6" x14ac:dyDescent="0.35">
      <c r="A191" s="72" t="s">
        <v>2017</v>
      </c>
      <c r="B191" s="73" t="s">
        <v>2018</v>
      </c>
      <c r="C191" s="74">
        <v>1</v>
      </c>
      <c r="D191" s="77">
        <v>10</v>
      </c>
      <c r="E191" s="73">
        <f t="shared" si="2"/>
        <v>0.1</v>
      </c>
      <c r="F191" s="76" t="s">
        <v>1974</v>
      </c>
    </row>
    <row r="192" spans="1:6" ht="18" customHeight="1" x14ac:dyDescent="0.35">
      <c r="A192" s="72" t="s">
        <v>2019</v>
      </c>
      <c r="B192" s="73" t="s">
        <v>2448</v>
      </c>
      <c r="C192" s="74">
        <v>1</v>
      </c>
      <c r="D192" s="77">
        <v>10</v>
      </c>
      <c r="E192" s="73">
        <f t="shared" si="2"/>
        <v>0.1</v>
      </c>
      <c r="F192" s="76" t="s">
        <v>1974</v>
      </c>
    </row>
    <row r="193" spans="1:6" ht="18" customHeight="1" x14ac:dyDescent="0.35">
      <c r="A193" s="72" t="s">
        <v>2020</v>
      </c>
      <c r="B193" s="73" t="s">
        <v>2510</v>
      </c>
      <c r="C193" s="74">
        <v>1</v>
      </c>
      <c r="D193" s="77">
        <v>20</v>
      </c>
      <c r="E193" s="73">
        <f t="shared" si="2"/>
        <v>0.05</v>
      </c>
      <c r="F193" s="76" t="s">
        <v>1974</v>
      </c>
    </row>
    <row r="194" spans="1:6" x14ac:dyDescent="0.35">
      <c r="A194" s="72" t="s">
        <v>2021</v>
      </c>
      <c r="B194" s="73" t="s">
        <v>2511</v>
      </c>
      <c r="C194" s="74">
        <v>1</v>
      </c>
      <c r="D194" s="77">
        <v>10</v>
      </c>
      <c r="E194" s="73">
        <f t="shared" si="2"/>
        <v>0.1</v>
      </c>
      <c r="F194" s="76" t="s">
        <v>1974</v>
      </c>
    </row>
    <row r="195" spans="1:6" ht="18" customHeight="1" x14ac:dyDescent="0.35">
      <c r="A195" s="72" t="s">
        <v>2022</v>
      </c>
      <c r="B195" s="73" t="s">
        <v>2449</v>
      </c>
      <c r="C195" s="74">
        <v>1</v>
      </c>
      <c r="D195" s="77">
        <v>10</v>
      </c>
      <c r="E195" s="73">
        <f t="shared" si="2"/>
        <v>0.1</v>
      </c>
      <c r="F195" s="76" t="s">
        <v>1974</v>
      </c>
    </row>
    <row r="196" spans="1:6" x14ac:dyDescent="0.35">
      <c r="A196" s="72" t="s">
        <v>2023</v>
      </c>
      <c r="B196" s="73" t="s">
        <v>2450</v>
      </c>
      <c r="C196" s="74">
        <v>1</v>
      </c>
      <c r="D196" s="77">
        <v>10</v>
      </c>
      <c r="E196" s="73">
        <f t="shared" si="2"/>
        <v>0.1</v>
      </c>
      <c r="F196" s="76" t="s">
        <v>1974</v>
      </c>
    </row>
    <row r="197" spans="1:6" ht="18" customHeight="1" x14ac:dyDescent="0.35">
      <c r="A197" s="72" t="s">
        <v>2024</v>
      </c>
      <c r="B197" s="73" t="s">
        <v>2608</v>
      </c>
      <c r="C197" s="74">
        <v>1</v>
      </c>
      <c r="D197" s="77">
        <v>5</v>
      </c>
      <c r="E197" s="73">
        <f t="shared" si="2"/>
        <v>0.2</v>
      </c>
      <c r="F197" s="76" t="s">
        <v>1974</v>
      </c>
    </row>
    <row r="198" spans="1:6" x14ac:dyDescent="0.35">
      <c r="A198" s="72" t="s">
        <v>2025</v>
      </c>
      <c r="B198" s="73" t="s">
        <v>2613</v>
      </c>
      <c r="C198" s="74">
        <v>1</v>
      </c>
      <c r="D198" s="77">
        <v>5</v>
      </c>
      <c r="E198" s="73">
        <f t="shared" si="2"/>
        <v>0.2</v>
      </c>
      <c r="F198" s="76" t="s">
        <v>1974</v>
      </c>
    </row>
    <row r="199" spans="1:6" x14ac:dyDescent="0.35">
      <c r="A199" s="72" t="s">
        <v>2026</v>
      </c>
      <c r="B199" s="73" t="s">
        <v>2614</v>
      </c>
      <c r="C199" s="74">
        <v>1</v>
      </c>
      <c r="D199" s="77">
        <v>5</v>
      </c>
      <c r="E199" s="73">
        <f t="shared" si="2"/>
        <v>0.2</v>
      </c>
      <c r="F199" s="76" t="s">
        <v>1974</v>
      </c>
    </row>
    <row r="200" spans="1:6" x14ac:dyDescent="0.35">
      <c r="A200" s="72" t="s">
        <v>2027</v>
      </c>
      <c r="B200" s="73" t="s">
        <v>2028</v>
      </c>
      <c r="C200" s="74">
        <v>1</v>
      </c>
      <c r="D200" s="77">
        <v>10</v>
      </c>
      <c r="E200" s="73">
        <f t="shared" si="2"/>
        <v>0.1</v>
      </c>
      <c r="F200" s="76" t="s">
        <v>1974</v>
      </c>
    </row>
    <row r="201" spans="1:6" x14ac:dyDescent="0.35">
      <c r="A201" s="72" t="s">
        <v>2029</v>
      </c>
      <c r="B201" s="73" t="s">
        <v>2677</v>
      </c>
      <c r="C201" s="74">
        <v>1</v>
      </c>
      <c r="D201" s="77">
        <v>10</v>
      </c>
      <c r="E201" s="73">
        <f t="shared" si="2"/>
        <v>0.1</v>
      </c>
      <c r="F201" s="76" t="s">
        <v>1974</v>
      </c>
    </row>
    <row r="202" spans="1:6" x14ac:dyDescent="0.35">
      <c r="A202" s="72" t="s">
        <v>2030</v>
      </c>
      <c r="B202" s="73" t="s">
        <v>2678</v>
      </c>
      <c r="C202" s="74">
        <v>1</v>
      </c>
      <c r="D202" s="77">
        <v>10</v>
      </c>
      <c r="E202" s="73">
        <f t="shared" si="2"/>
        <v>0.1</v>
      </c>
      <c r="F202" s="76" t="s">
        <v>1974</v>
      </c>
    </row>
    <row r="203" spans="1:6" x14ac:dyDescent="0.35">
      <c r="A203" s="72" t="s">
        <v>2031</v>
      </c>
      <c r="B203" s="73" t="s">
        <v>2451</v>
      </c>
      <c r="C203" s="74">
        <v>1</v>
      </c>
      <c r="D203" s="77">
        <v>25</v>
      </c>
      <c r="E203" s="73">
        <f t="shared" si="2"/>
        <v>0.04</v>
      </c>
      <c r="F203" s="76" t="s">
        <v>1974</v>
      </c>
    </row>
    <row r="204" spans="1:6" x14ac:dyDescent="0.35">
      <c r="A204" s="72" t="s">
        <v>2024</v>
      </c>
      <c r="B204" s="73" t="s">
        <v>2452</v>
      </c>
      <c r="C204" s="74">
        <v>1</v>
      </c>
      <c r="D204" s="77">
        <v>5</v>
      </c>
      <c r="E204" s="73">
        <f t="shared" si="2"/>
        <v>0.2</v>
      </c>
      <c r="F204" s="76" t="s">
        <v>1974</v>
      </c>
    </row>
    <row r="205" spans="1:6" x14ac:dyDescent="0.35">
      <c r="A205" s="72" t="s">
        <v>2032</v>
      </c>
      <c r="B205" s="73" t="s">
        <v>2512</v>
      </c>
      <c r="C205" s="74">
        <v>1</v>
      </c>
      <c r="D205" s="77">
        <v>10</v>
      </c>
      <c r="E205" s="73">
        <f t="shared" si="2"/>
        <v>0.1</v>
      </c>
      <c r="F205" s="76" t="s">
        <v>1974</v>
      </c>
    </row>
    <row r="206" spans="1:6" x14ac:dyDescent="0.35">
      <c r="A206" s="72" t="s">
        <v>2033</v>
      </c>
      <c r="B206" s="73" t="s">
        <v>2513</v>
      </c>
      <c r="C206" s="74">
        <v>1</v>
      </c>
      <c r="D206" s="77">
        <v>3</v>
      </c>
      <c r="E206" s="73">
        <f t="shared" si="2"/>
        <v>0.33333333333333331</v>
      </c>
      <c r="F206" s="76" t="s">
        <v>1974</v>
      </c>
    </row>
    <row r="207" spans="1:6" x14ac:dyDescent="0.35">
      <c r="A207" s="72" t="s">
        <v>2034</v>
      </c>
      <c r="B207" s="73" t="s">
        <v>2514</v>
      </c>
      <c r="C207" s="74">
        <v>1</v>
      </c>
      <c r="D207" s="77">
        <v>3</v>
      </c>
      <c r="E207" s="73">
        <f t="shared" si="2"/>
        <v>0.33333333333333331</v>
      </c>
      <c r="F207" s="76" t="s">
        <v>1974</v>
      </c>
    </row>
    <row r="208" spans="1:6" x14ac:dyDescent="0.35">
      <c r="A208" s="72" t="s">
        <v>2035</v>
      </c>
      <c r="B208" s="73" t="s">
        <v>2515</v>
      </c>
      <c r="C208" s="74">
        <v>1</v>
      </c>
      <c r="D208" s="77">
        <v>10</v>
      </c>
      <c r="E208" s="73">
        <f t="shared" si="2"/>
        <v>0.1</v>
      </c>
      <c r="F208" s="76" t="s">
        <v>1974</v>
      </c>
    </row>
    <row r="209" spans="1:6" x14ac:dyDescent="0.35">
      <c r="A209" s="72" t="s">
        <v>2036</v>
      </c>
      <c r="B209" s="73" t="s">
        <v>2598</v>
      </c>
      <c r="C209" s="74">
        <v>1</v>
      </c>
      <c r="D209" s="77">
        <v>10</v>
      </c>
      <c r="E209" s="73">
        <f t="shared" si="2"/>
        <v>0.1</v>
      </c>
      <c r="F209" s="76" t="s">
        <v>1974</v>
      </c>
    </row>
    <row r="210" spans="1:6" x14ac:dyDescent="0.35">
      <c r="A210" s="72" t="s">
        <v>2037</v>
      </c>
      <c r="B210" s="73" t="s">
        <v>2599</v>
      </c>
      <c r="C210" s="74">
        <v>1</v>
      </c>
      <c r="D210" s="77">
        <v>10</v>
      </c>
      <c r="E210" s="73">
        <f t="shared" si="2"/>
        <v>0.1</v>
      </c>
      <c r="F210" s="76" t="s">
        <v>1974</v>
      </c>
    </row>
    <row r="211" spans="1:6" x14ac:dyDescent="0.35">
      <c r="A211" s="72" t="s">
        <v>2038</v>
      </c>
      <c r="B211" s="73" t="s">
        <v>2039</v>
      </c>
      <c r="C211" s="74">
        <v>1</v>
      </c>
      <c r="D211" s="77">
        <v>20</v>
      </c>
      <c r="E211" s="73">
        <f t="shared" si="2"/>
        <v>0.05</v>
      </c>
      <c r="F211" s="76" t="s">
        <v>1974</v>
      </c>
    </row>
    <row r="212" spans="1:6" x14ac:dyDescent="0.35">
      <c r="A212" s="72" t="s">
        <v>2040</v>
      </c>
      <c r="B212" s="73" t="s">
        <v>2516</v>
      </c>
      <c r="C212" s="74">
        <v>1</v>
      </c>
      <c r="D212" s="77">
        <v>30</v>
      </c>
      <c r="E212" s="73">
        <f t="shared" ref="E212:E278" si="3">C212/D212</f>
        <v>3.3333333333333333E-2</v>
      </c>
      <c r="F212" s="76" t="s">
        <v>1974</v>
      </c>
    </row>
    <row r="213" spans="1:6" x14ac:dyDescent="0.35">
      <c r="A213" s="72" t="s">
        <v>2041</v>
      </c>
      <c r="B213" s="73" t="s">
        <v>2517</v>
      </c>
      <c r="C213" s="74">
        <v>1</v>
      </c>
      <c r="D213" s="77">
        <v>30</v>
      </c>
      <c r="E213" s="73">
        <f t="shared" si="3"/>
        <v>3.3333333333333333E-2</v>
      </c>
      <c r="F213" s="76" t="s">
        <v>1974</v>
      </c>
    </row>
    <row r="214" spans="1:6" x14ac:dyDescent="0.35">
      <c r="A214" s="72" t="s">
        <v>2042</v>
      </c>
      <c r="B214" s="73" t="s">
        <v>2609</v>
      </c>
      <c r="C214" s="74">
        <v>1</v>
      </c>
      <c r="D214" s="77">
        <v>10</v>
      </c>
      <c r="E214" s="73">
        <f t="shared" si="3"/>
        <v>0.1</v>
      </c>
      <c r="F214" s="76" t="s">
        <v>2043</v>
      </c>
    </row>
    <row r="215" spans="1:6" x14ac:dyDescent="0.35">
      <c r="A215" s="72" t="s">
        <v>2044</v>
      </c>
      <c r="B215" s="73" t="s">
        <v>2518</v>
      </c>
      <c r="C215" s="74">
        <v>1</v>
      </c>
      <c r="D215" s="77">
        <v>10</v>
      </c>
      <c r="E215" s="73">
        <f t="shared" si="3"/>
        <v>0.1</v>
      </c>
      <c r="F215" s="76" t="s">
        <v>2043</v>
      </c>
    </row>
    <row r="216" spans="1:6" x14ac:dyDescent="0.35">
      <c r="A216" s="72" t="s">
        <v>2045</v>
      </c>
      <c r="B216" s="73" t="s">
        <v>2735</v>
      </c>
      <c r="C216" s="74">
        <v>1</v>
      </c>
      <c r="D216" s="77">
        <v>3</v>
      </c>
      <c r="E216" s="73">
        <f t="shared" si="3"/>
        <v>0.33333333333333331</v>
      </c>
      <c r="F216" s="76" t="s">
        <v>2043</v>
      </c>
    </row>
    <row r="217" spans="1:6" x14ac:dyDescent="0.35">
      <c r="A217" s="72" t="s">
        <v>2046</v>
      </c>
      <c r="B217" s="73" t="s">
        <v>2047</v>
      </c>
      <c r="C217" s="74">
        <v>1</v>
      </c>
      <c r="D217" s="77">
        <v>3</v>
      </c>
      <c r="E217" s="73">
        <f t="shared" si="3"/>
        <v>0.33333333333333331</v>
      </c>
      <c r="F217" s="76" t="s">
        <v>2043</v>
      </c>
    </row>
    <row r="218" spans="1:6" x14ac:dyDescent="0.35">
      <c r="A218" s="72" t="s">
        <v>2048</v>
      </c>
      <c r="B218" s="73" t="s">
        <v>2737</v>
      </c>
      <c r="C218" s="74">
        <v>1</v>
      </c>
      <c r="D218" s="77">
        <v>3</v>
      </c>
      <c r="E218" s="73">
        <f t="shared" si="3"/>
        <v>0.33333333333333331</v>
      </c>
      <c r="F218" s="76" t="s">
        <v>2043</v>
      </c>
    </row>
    <row r="219" spans="1:6" x14ac:dyDescent="0.35">
      <c r="A219" s="72" t="s">
        <v>2049</v>
      </c>
      <c r="B219" s="73" t="s">
        <v>2050</v>
      </c>
      <c r="C219" s="74">
        <v>1</v>
      </c>
      <c r="D219" s="77">
        <v>3</v>
      </c>
      <c r="E219" s="73">
        <f t="shared" si="3"/>
        <v>0.33333333333333331</v>
      </c>
      <c r="F219" s="76" t="s">
        <v>2043</v>
      </c>
    </row>
    <row r="220" spans="1:6" x14ac:dyDescent="0.35">
      <c r="A220" s="72" t="s">
        <v>2051</v>
      </c>
      <c r="B220" s="73" t="s">
        <v>2052</v>
      </c>
      <c r="C220" s="74">
        <v>1</v>
      </c>
      <c r="D220" s="77">
        <v>15</v>
      </c>
      <c r="E220" s="73">
        <f t="shared" si="3"/>
        <v>6.6666666666666666E-2</v>
      </c>
      <c r="F220" s="76" t="s">
        <v>2043</v>
      </c>
    </row>
    <row r="221" spans="1:6" x14ac:dyDescent="0.35">
      <c r="A221" s="72" t="s">
        <v>2053</v>
      </c>
      <c r="B221" s="73" t="s">
        <v>2734</v>
      </c>
      <c r="C221" s="74">
        <v>1</v>
      </c>
      <c r="D221" s="77">
        <v>15</v>
      </c>
      <c r="E221" s="73">
        <f t="shared" si="3"/>
        <v>6.6666666666666666E-2</v>
      </c>
      <c r="F221" s="76" t="s">
        <v>2043</v>
      </c>
    </row>
    <row r="222" spans="1:6" x14ac:dyDescent="0.35">
      <c r="A222" s="72" t="s">
        <v>2054</v>
      </c>
      <c r="B222" s="73" t="s">
        <v>2600</v>
      </c>
      <c r="C222" s="74">
        <v>1</v>
      </c>
      <c r="D222" s="77">
        <v>15</v>
      </c>
      <c r="E222" s="73">
        <f t="shared" si="3"/>
        <v>6.6666666666666666E-2</v>
      </c>
      <c r="F222" s="76" t="s">
        <v>2043</v>
      </c>
    </row>
    <row r="223" spans="1:6" x14ac:dyDescent="0.35">
      <c r="A223" s="72" t="s">
        <v>2055</v>
      </c>
      <c r="B223" s="73" t="s">
        <v>2657</v>
      </c>
      <c r="C223" s="74">
        <v>1</v>
      </c>
      <c r="D223" s="77">
        <v>3</v>
      </c>
      <c r="E223" s="73">
        <f t="shared" si="3"/>
        <v>0.33333333333333331</v>
      </c>
      <c r="F223" s="76" t="s">
        <v>2043</v>
      </c>
    </row>
    <row r="224" spans="1:6" x14ac:dyDescent="0.35">
      <c r="A224" s="72" t="s">
        <v>2056</v>
      </c>
      <c r="B224" s="73" t="s">
        <v>2658</v>
      </c>
      <c r="C224" s="74">
        <v>1</v>
      </c>
      <c r="D224" s="77">
        <v>3</v>
      </c>
      <c r="E224" s="73">
        <f t="shared" si="3"/>
        <v>0.33333333333333331</v>
      </c>
      <c r="F224" s="76" t="s">
        <v>2043</v>
      </c>
    </row>
    <row r="225" spans="1:6" x14ac:dyDescent="0.35">
      <c r="A225" s="72" t="s">
        <v>2057</v>
      </c>
      <c r="B225" s="73" t="s">
        <v>2638</v>
      </c>
      <c r="C225" s="74">
        <v>1</v>
      </c>
      <c r="D225" s="77">
        <v>10</v>
      </c>
      <c r="E225" s="73">
        <f t="shared" si="3"/>
        <v>0.1</v>
      </c>
      <c r="F225" s="76" t="s">
        <v>2043</v>
      </c>
    </row>
    <row r="226" spans="1:6" x14ac:dyDescent="0.35">
      <c r="A226" s="72" t="s">
        <v>2058</v>
      </c>
      <c r="B226" s="73" t="s">
        <v>2059</v>
      </c>
      <c r="C226" s="74">
        <v>1</v>
      </c>
      <c r="D226" s="77">
        <v>3</v>
      </c>
      <c r="E226" s="73">
        <f t="shared" si="3"/>
        <v>0.33333333333333331</v>
      </c>
      <c r="F226" s="76" t="s">
        <v>2043</v>
      </c>
    </row>
    <row r="227" spans="1:6" x14ac:dyDescent="0.35">
      <c r="A227" s="72" t="s">
        <v>2060</v>
      </c>
      <c r="B227" s="73" t="s">
        <v>2061</v>
      </c>
      <c r="C227" s="74">
        <v>1</v>
      </c>
      <c r="D227" s="77">
        <v>3</v>
      </c>
      <c r="E227" s="73">
        <f t="shared" si="3"/>
        <v>0.33333333333333331</v>
      </c>
      <c r="F227" s="76" t="s">
        <v>2043</v>
      </c>
    </row>
    <row r="228" spans="1:6" x14ac:dyDescent="0.35">
      <c r="A228" s="72" t="s">
        <v>2062</v>
      </c>
      <c r="B228" s="73" t="s">
        <v>2063</v>
      </c>
      <c r="C228" s="74">
        <v>1</v>
      </c>
      <c r="D228" s="77">
        <v>3</v>
      </c>
      <c r="E228" s="73">
        <f t="shared" si="3"/>
        <v>0.33333333333333331</v>
      </c>
      <c r="F228" s="76" t="s">
        <v>2043</v>
      </c>
    </row>
    <row r="229" spans="1:6" x14ac:dyDescent="0.35">
      <c r="A229" s="72" t="s">
        <v>2064</v>
      </c>
      <c r="B229" s="73" t="s">
        <v>2065</v>
      </c>
      <c r="C229" s="74">
        <v>1</v>
      </c>
      <c r="D229" s="77">
        <v>3</v>
      </c>
      <c r="E229" s="73">
        <f t="shared" si="3"/>
        <v>0.33333333333333331</v>
      </c>
      <c r="F229" s="76" t="s">
        <v>2043</v>
      </c>
    </row>
    <row r="230" spans="1:6" x14ac:dyDescent="0.35">
      <c r="A230" s="72" t="s">
        <v>2066</v>
      </c>
      <c r="B230" s="73" t="s">
        <v>2610</v>
      </c>
      <c r="C230" s="74">
        <v>1</v>
      </c>
      <c r="D230" s="77">
        <v>10</v>
      </c>
      <c r="E230" s="73">
        <f t="shared" si="3"/>
        <v>0.1</v>
      </c>
      <c r="F230" s="76" t="s">
        <v>2043</v>
      </c>
    </row>
    <row r="231" spans="1:6" x14ac:dyDescent="0.35">
      <c r="A231" s="72" t="s">
        <v>2067</v>
      </c>
      <c r="B231" s="73" t="s">
        <v>2639</v>
      </c>
      <c r="C231" s="74">
        <v>1</v>
      </c>
      <c r="D231" s="77">
        <v>10</v>
      </c>
      <c r="E231" s="73">
        <f t="shared" si="3"/>
        <v>0.1</v>
      </c>
      <c r="F231" s="76" t="s">
        <v>2043</v>
      </c>
    </row>
    <row r="232" spans="1:6" x14ac:dyDescent="0.35">
      <c r="A232" s="72" t="s">
        <v>2068</v>
      </c>
      <c r="B232" s="73" t="s">
        <v>2640</v>
      </c>
      <c r="C232" s="74">
        <v>1</v>
      </c>
      <c r="D232" s="77">
        <v>10</v>
      </c>
      <c r="E232" s="73">
        <f t="shared" si="3"/>
        <v>0.1</v>
      </c>
      <c r="F232" s="76" t="s">
        <v>2043</v>
      </c>
    </row>
    <row r="233" spans="1:6" x14ac:dyDescent="0.35">
      <c r="A233" s="72" t="s">
        <v>2069</v>
      </c>
      <c r="B233" s="73" t="s">
        <v>2641</v>
      </c>
      <c r="C233" s="74">
        <v>1</v>
      </c>
      <c r="D233" s="77">
        <v>10</v>
      </c>
      <c r="E233" s="73">
        <f t="shared" si="3"/>
        <v>0.1</v>
      </c>
      <c r="F233" s="76" t="s">
        <v>2043</v>
      </c>
    </row>
    <row r="234" spans="1:6" x14ac:dyDescent="0.35">
      <c r="A234" s="80" t="s">
        <v>2070</v>
      </c>
      <c r="B234" s="80" t="s">
        <v>2453</v>
      </c>
      <c r="C234" s="74">
        <v>1</v>
      </c>
      <c r="D234" s="77">
        <v>3</v>
      </c>
      <c r="E234" s="73">
        <f t="shared" si="3"/>
        <v>0.33333333333333331</v>
      </c>
      <c r="F234" s="76" t="s">
        <v>2043</v>
      </c>
    </row>
    <row r="235" spans="1:6" x14ac:dyDescent="0.35">
      <c r="A235" s="80" t="s">
        <v>2071</v>
      </c>
      <c r="B235" s="80" t="s">
        <v>2454</v>
      </c>
      <c r="C235" s="74">
        <v>1</v>
      </c>
      <c r="D235" s="77">
        <v>3</v>
      </c>
      <c r="E235" s="73">
        <f t="shared" si="3"/>
        <v>0.33333333333333331</v>
      </c>
      <c r="F235" s="76" t="s">
        <v>2043</v>
      </c>
    </row>
    <row r="236" spans="1:6" x14ac:dyDescent="0.35">
      <c r="A236" s="80" t="s">
        <v>2072</v>
      </c>
      <c r="B236" s="80" t="s">
        <v>2455</v>
      </c>
      <c r="C236" s="74">
        <v>1</v>
      </c>
      <c r="D236" s="77">
        <v>3</v>
      </c>
      <c r="E236" s="73">
        <f t="shared" si="3"/>
        <v>0.33333333333333331</v>
      </c>
      <c r="F236" s="76" t="s">
        <v>2043</v>
      </c>
    </row>
    <row r="237" spans="1:6" x14ac:dyDescent="0.35">
      <c r="A237" s="80" t="s">
        <v>2073</v>
      </c>
      <c r="B237" s="80" t="s">
        <v>2456</v>
      </c>
      <c r="C237" s="74">
        <v>1</v>
      </c>
      <c r="D237" s="77">
        <v>3</v>
      </c>
      <c r="E237" s="73">
        <f t="shared" si="3"/>
        <v>0.33333333333333331</v>
      </c>
      <c r="F237" s="76" t="s">
        <v>2043</v>
      </c>
    </row>
    <row r="238" spans="1:6" x14ac:dyDescent="0.35">
      <c r="A238" s="80" t="s">
        <v>2074</v>
      </c>
      <c r="B238" s="80" t="s">
        <v>2457</v>
      </c>
      <c r="C238" s="74">
        <v>1</v>
      </c>
      <c r="D238" s="77">
        <v>3</v>
      </c>
      <c r="E238" s="73">
        <f t="shared" si="3"/>
        <v>0.33333333333333331</v>
      </c>
      <c r="F238" s="76" t="s">
        <v>2043</v>
      </c>
    </row>
    <row r="239" spans="1:6" x14ac:dyDescent="0.35">
      <c r="A239" s="80" t="s">
        <v>2075</v>
      </c>
      <c r="B239" s="80" t="s">
        <v>2458</v>
      </c>
      <c r="C239" s="74">
        <v>1</v>
      </c>
      <c r="D239" s="77">
        <v>3</v>
      </c>
      <c r="E239" s="73">
        <f t="shared" si="3"/>
        <v>0.33333333333333331</v>
      </c>
      <c r="F239" s="76" t="s">
        <v>2043</v>
      </c>
    </row>
    <row r="240" spans="1:6" x14ac:dyDescent="0.35">
      <c r="A240" s="80" t="s">
        <v>2076</v>
      </c>
      <c r="B240" s="80" t="s">
        <v>2459</v>
      </c>
      <c r="C240" s="74">
        <v>1</v>
      </c>
      <c r="D240" s="77">
        <v>3</v>
      </c>
      <c r="E240" s="73">
        <f t="shared" si="3"/>
        <v>0.33333333333333331</v>
      </c>
      <c r="F240" s="76" t="s">
        <v>2043</v>
      </c>
    </row>
    <row r="241" spans="1:6" x14ac:dyDescent="0.35">
      <c r="A241" s="81" t="s">
        <v>2077</v>
      </c>
      <c r="B241" s="80" t="s">
        <v>2460</v>
      </c>
      <c r="C241" s="74">
        <v>1</v>
      </c>
      <c r="D241" s="77">
        <v>3</v>
      </c>
      <c r="E241" s="73">
        <f t="shared" si="3"/>
        <v>0.33333333333333331</v>
      </c>
      <c r="F241" s="76" t="s">
        <v>2043</v>
      </c>
    </row>
    <row r="242" spans="1:6" x14ac:dyDescent="0.35">
      <c r="A242" s="78" t="s">
        <v>2078</v>
      </c>
      <c r="B242" s="75" t="s">
        <v>2615</v>
      </c>
      <c r="C242" s="74">
        <v>1</v>
      </c>
      <c r="D242" s="74">
        <v>10</v>
      </c>
      <c r="E242" s="73">
        <f t="shared" si="3"/>
        <v>0.1</v>
      </c>
      <c r="F242" s="79" t="s">
        <v>2043</v>
      </c>
    </row>
    <row r="243" spans="1:6" x14ac:dyDescent="0.35">
      <c r="A243" s="78" t="s">
        <v>2079</v>
      </c>
      <c r="B243" s="75" t="s">
        <v>2080</v>
      </c>
      <c r="C243" s="74">
        <v>1</v>
      </c>
      <c r="D243" s="74">
        <v>10</v>
      </c>
      <c r="E243" s="73">
        <f t="shared" si="3"/>
        <v>0.1</v>
      </c>
      <c r="F243" s="79" t="s">
        <v>2043</v>
      </c>
    </row>
    <row r="244" spans="1:6" x14ac:dyDescent="0.35">
      <c r="A244" s="72" t="s">
        <v>2081</v>
      </c>
      <c r="B244" s="73" t="s">
        <v>2082</v>
      </c>
      <c r="C244" s="74">
        <v>1</v>
      </c>
      <c r="D244" s="77">
        <v>3</v>
      </c>
      <c r="E244" s="73">
        <f t="shared" si="3"/>
        <v>0.33333333333333331</v>
      </c>
      <c r="F244" s="76" t="s">
        <v>2043</v>
      </c>
    </row>
    <row r="245" spans="1:6" x14ac:dyDescent="0.35">
      <c r="A245" s="72" t="s">
        <v>2083</v>
      </c>
      <c r="B245" s="73" t="s">
        <v>2084</v>
      </c>
      <c r="C245" s="74">
        <v>1</v>
      </c>
      <c r="D245" s="77">
        <v>3</v>
      </c>
      <c r="E245" s="73">
        <f t="shared" si="3"/>
        <v>0.33333333333333331</v>
      </c>
      <c r="F245" s="76" t="s">
        <v>2043</v>
      </c>
    </row>
    <row r="246" spans="1:6" x14ac:dyDescent="0.35">
      <c r="A246" s="72" t="s">
        <v>2085</v>
      </c>
      <c r="B246" s="73" t="s">
        <v>2659</v>
      </c>
      <c r="C246" s="74">
        <v>1</v>
      </c>
      <c r="D246" s="77">
        <v>10</v>
      </c>
      <c r="E246" s="73">
        <f>C246/D246</f>
        <v>0.1</v>
      </c>
      <c r="F246" s="76" t="s">
        <v>2043</v>
      </c>
    </row>
    <row r="247" spans="1:6" x14ac:dyDescent="0.35">
      <c r="A247" s="72" t="s">
        <v>2086</v>
      </c>
      <c r="B247" s="73" t="s">
        <v>2698</v>
      </c>
      <c r="C247" s="74">
        <v>1</v>
      </c>
      <c r="D247" s="77">
        <v>3</v>
      </c>
      <c r="E247" s="73">
        <f t="shared" si="3"/>
        <v>0.33333333333333331</v>
      </c>
      <c r="F247" s="76" t="s">
        <v>2043</v>
      </c>
    </row>
    <row r="248" spans="1:6" x14ac:dyDescent="0.35">
      <c r="A248" s="72" t="s">
        <v>2087</v>
      </c>
      <c r="B248" s="73" t="s">
        <v>2695</v>
      </c>
      <c r="C248" s="74">
        <v>1</v>
      </c>
      <c r="D248" s="77">
        <v>3</v>
      </c>
      <c r="E248" s="73">
        <f t="shared" si="3"/>
        <v>0.33333333333333331</v>
      </c>
      <c r="F248" s="76" t="s">
        <v>2043</v>
      </c>
    </row>
    <row r="249" spans="1:6" x14ac:dyDescent="0.35">
      <c r="A249" s="72" t="s">
        <v>2088</v>
      </c>
      <c r="B249" s="73" t="s">
        <v>2577</v>
      </c>
      <c r="C249" s="74">
        <v>1</v>
      </c>
      <c r="D249" s="77">
        <v>3</v>
      </c>
      <c r="E249" s="73">
        <f t="shared" si="3"/>
        <v>0.33333333333333331</v>
      </c>
      <c r="F249" s="76" t="s">
        <v>2043</v>
      </c>
    </row>
    <row r="250" spans="1:6" x14ac:dyDescent="0.35">
      <c r="A250" s="72" t="s">
        <v>2089</v>
      </c>
      <c r="B250" s="73" t="s">
        <v>2090</v>
      </c>
      <c r="C250" s="74">
        <v>1</v>
      </c>
      <c r="D250" s="77">
        <v>2</v>
      </c>
      <c r="E250" s="73">
        <f t="shared" si="3"/>
        <v>0.5</v>
      </c>
      <c r="F250" s="76" t="s">
        <v>2043</v>
      </c>
    </row>
    <row r="251" spans="1:6" x14ac:dyDescent="0.35">
      <c r="A251" s="72" t="s">
        <v>2091</v>
      </c>
      <c r="B251" s="73" t="s">
        <v>2092</v>
      </c>
      <c r="C251" s="74">
        <v>1</v>
      </c>
      <c r="D251" s="77">
        <v>2</v>
      </c>
      <c r="E251" s="73">
        <f t="shared" si="3"/>
        <v>0.5</v>
      </c>
      <c r="F251" s="76" t="s">
        <v>2043</v>
      </c>
    </row>
    <row r="252" spans="1:6" x14ac:dyDescent="0.35">
      <c r="A252" s="72" t="s">
        <v>2093</v>
      </c>
      <c r="B252" s="73" t="s">
        <v>2094</v>
      </c>
      <c r="C252" s="74">
        <v>1</v>
      </c>
      <c r="D252" s="77">
        <v>10</v>
      </c>
      <c r="E252" s="73">
        <f t="shared" si="3"/>
        <v>0.1</v>
      </c>
      <c r="F252" s="76" t="s">
        <v>2043</v>
      </c>
    </row>
    <row r="253" spans="1:6" x14ac:dyDescent="0.35">
      <c r="A253" s="72" t="s">
        <v>2095</v>
      </c>
      <c r="B253" s="73" t="s">
        <v>2096</v>
      </c>
      <c r="C253" s="74">
        <v>1</v>
      </c>
      <c r="D253" s="77">
        <v>15</v>
      </c>
      <c r="E253" s="73">
        <f t="shared" si="3"/>
        <v>6.6666666666666666E-2</v>
      </c>
      <c r="F253" s="76" t="s">
        <v>2097</v>
      </c>
    </row>
    <row r="254" spans="1:6" x14ac:dyDescent="0.35">
      <c r="A254" s="72" t="s">
        <v>2098</v>
      </c>
      <c r="B254" s="73" t="s">
        <v>2099</v>
      </c>
      <c r="C254" s="74">
        <v>1</v>
      </c>
      <c r="D254" s="77">
        <v>3</v>
      </c>
      <c r="E254" s="73">
        <f t="shared" si="3"/>
        <v>0.33333333333333331</v>
      </c>
      <c r="F254" s="76" t="s">
        <v>2097</v>
      </c>
    </row>
    <row r="255" spans="1:6" x14ac:dyDescent="0.35">
      <c r="A255" s="72" t="s">
        <v>2100</v>
      </c>
      <c r="B255" s="73" t="s">
        <v>2101</v>
      </c>
      <c r="C255" s="74">
        <v>1</v>
      </c>
      <c r="D255" s="77">
        <v>15</v>
      </c>
      <c r="E255" s="73">
        <f>C255/D255</f>
        <v>6.6666666666666666E-2</v>
      </c>
      <c r="F255" s="76" t="s">
        <v>2097</v>
      </c>
    </row>
    <row r="256" spans="1:6" x14ac:dyDescent="0.35">
      <c r="A256" s="72" t="s">
        <v>2102</v>
      </c>
      <c r="B256" s="73" t="s">
        <v>2519</v>
      </c>
      <c r="C256" s="74">
        <v>1</v>
      </c>
      <c r="D256" s="77">
        <v>20</v>
      </c>
      <c r="E256" s="73">
        <f t="shared" si="3"/>
        <v>0.05</v>
      </c>
      <c r="F256" s="76" t="s">
        <v>2097</v>
      </c>
    </row>
    <row r="257" spans="1:6" x14ac:dyDescent="0.35">
      <c r="A257" s="72" t="s">
        <v>2103</v>
      </c>
      <c r="B257" s="73" t="s">
        <v>2104</v>
      </c>
      <c r="C257" s="74">
        <v>1</v>
      </c>
      <c r="D257" s="77">
        <v>5</v>
      </c>
      <c r="E257" s="73">
        <f t="shared" si="3"/>
        <v>0.2</v>
      </c>
      <c r="F257" s="76" t="s">
        <v>2097</v>
      </c>
    </row>
    <row r="258" spans="1:6" x14ac:dyDescent="0.35">
      <c r="A258" s="72" t="s">
        <v>2105</v>
      </c>
      <c r="B258" s="73" t="s">
        <v>2679</v>
      </c>
      <c r="C258" s="74">
        <v>1</v>
      </c>
      <c r="D258" s="77">
        <v>3</v>
      </c>
      <c r="E258" s="73">
        <f t="shared" si="3"/>
        <v>0.33333333333333331</v>
      </c>
      <c r="F258" s="76" t="s">
        <v>2097</v>
      </c>
    </row>
    <row r="259" spans="1:6" x14ac:dyDescent="0.35">
      <c r="A259" s="72" t="s">
        <v>2106</v>
      </c>
      <c r="B259" s="73" t="s">
        <v>2680</v>
      </c>
      <c r="C259" s="74">
        <v>1</v>
      </c>
      <c r="D259" s="77">
        <v>3</v>
      </c>
      <c r="E259" s="73">
        <f t="shared" si="3"/>
        <v>0.33333333333333331</v>
      </c>
      <c r="F259" s="76" t="s">
        <v>2097</v>
      </c>
    </row>
    <row r="260" spans="1:6" x14ac:dyDescent="0.35">
      <c r="A260" s="72" t="s">
        <v>2107</v>
      </c>
      <c r="B260" s="73" t="s">
        <v>2681</v>
      </c>
      <c r="C260" s="74">
        <v>1</v>
      </c>
      <c r="D260" s="77">
        <v>3</v>
      </c>
      <c r="E260" s="73">
        <f t="shared" si="3"/>
        <v>0.33333333333333331</v>
      </c>
      <c r="F260" s="76" t="s">
        <v>2097</v>
      </c>
    </row>
    <row r="261" spans="1:6" x14ac:dyDescent="0.35">
      <c r="A261" s="72" t="s">
        <v>2108</v>
      </c>
      <c r="B261" s="73" t="s">
        <v>2682</v>
      </c>
      <c r="C261" s="74">
        <v>1</v>
      </c>
      <c r="D261" s="77">
        <v>3</v>
      </c>
      <c r="E261" s="73">
        <f t="shared" si="3"/>
        <v>0.33333333333333331</v>
      </c>
      <c r="F261" s="76" t="s">
        <v>2097</v>
      </c>
    </row>
    <row r="262" spans="1:6" x14ac:dyDescent="0.35">
      <c r="A262" s="72" t="s">
        <v>2109</v>
      </c>
      <c r="B262" s="73" t="s">
        <v>2683</v>
      </c>
      <c r="C262" s="74">
        <v>1</v>
      </c>
      <c r="D262" s="77">
        <v>3</v>
      </c>
      <c r="E262" s="73">
        <f t="shared" si="3"/>
        <v>0.33333333333333331</v>
      </c>
      <c r="F262" s="76" t="s">
        <v>2097</v>
      </c>
    </row>
    <row r="263" spans="1:6" x14ac:dyDescent="0.35">
      <c r="A263" s="72" t="s">
        <v>2110</v>
      </c>
      <c r="B263" s="73" t="s">
        <v>2684</v>
      </c>
      <c r="C263" s="74">
        <v>1</v>
      </c>
      <c r="D263" s="77">
        <v>3</v>
      </c>
      <c r="E263" s="73">
        <f t="shared" si="3"/>
        <v>0.33333333333333331</v>
      </c>
      <c r="F263" s="76" t="s">
        <v>2097</v>
      </c>
    </row>
    <row r="264" spans="1:6" x14ac:dyDescent="0.35">
      <c r="A264" s="72" t="s">
        <v>2111</v>
      </c>
      <c r="B264" s="73" t="s">
        <v>2685</v>
      </c>
      <c r="C264" s="74">
        <v>1</v>
      </c>
      <c r="D264" s="77">
        <v>3</v>
      </c>
      <c r="E264" s="73">
        <f t="shared" si="3"/>
        <v>0.33333333333333331</v>
      </c>
      <c r="F264" s="76" t="s">
        <v>2097</v>
      </c>
    </row>
    <row r="265" spans="1:6" x14ac:dyDescent="0.35">
      <c r="A265" s="72" t="s">
        <v>2112</v>
      </c>
      <c r="B265" s="73" t="s">
        <v>2686</v>
      </c>
      <c r="C265" s="74">
        <v>1</v>
      </c>
      <c r="D265" s="77">
        <v>3</v>
      </c>
      <c r="E265" s="73">
        <f t="shared" si="3"/>
        <v>0.33333333333333331</v>
      </c>
      <c r="F265" s="76" t="s">
        <v>2097</v>
      </c>
    </row>
    <row r="266" spans="1:6" x14ac:dyDescent="0.35">
      <c r="A266" s="72" t="s">
        <v>2113</v>
      </c>
      <c r="B266" s="73" t="s">
        <v>2461</v>
      </c>
      <c r="C266" s="74">
        <v>1</v>
      </c>
      <c r="D266" s="77">
        <v>3</v>
      </c>
      <c r="E266" s="73">
        <f t="shared" si="3"/>
        <v>0.33333333333333331</v>
      </c>
      <c r="F266" s="76" t="s">
        <v>2097</v>
      </c>
    </row>
    <row r="267" spans="1:6" x14ac:dyDescent="0.35">
      <c r="A267" s="72" t="s">
        <v>2114</v>
      </c>
      <c r="B267" s="73" t="s">
        <v>2462</v>
      </c>
      <c r="C267" s="74">
        <v>1</v>
      </c>
      <c r="D267" s="77">
        <v>3</v>
      </c>
      <c r="E267" s="73">
        <f t="shared" si="3"/>
        <v>0.33333333333333331</v>
      </c>
      <c r="F267" s="76" t="s">
        <v>2097</v>
      </c>
    </row>
    <row r="268" spans="1:6" x14ac:dyDescent="0.35">
      <c r="A268" s="72" t="s">
        <v>2115</v>
      </c>
      <c r="B268" s="73" t="s">
        <v>2463</v>
      </c>
      <c r="C268" s="74">
        <v>1</v>
      </c>
      <c r="D268" s="77">
        <v>3</v>
      </c>
      <c r="E268" s="73">
        <f t="shared" si="3"/>
        <v>0.33333333333333331</v>
      </c>
      <c r="F268" s="76" t="s">
        <v>2097</v>
      </c>
    </row>
    <row r="269" spans="1:6" x14ac:dyDescent="0.35">
      <c r="A269" s="72" t="s">
        <v>2116</v>
      </c>
      <c r="B269" s="73" t="s">
        <v>2578</v>
      </c>
      <c r="C269" s="74">
        <v>1</v>
      </c>
      <c r="D269" s="77">
        <v>3</v>
      </c>
      <c r="E269" s="73">
        <f t="shared" si="3"/>
        <v>0.33333333333333331</v>
      </c>
      <c r="F269" s="76" t="s">
        <v>2097</v>
      </c>
    </row>
    <row r="270" spans="1:6" x14ac:dyDescent="0.35">
      <c r="A270" s="72" t="s">
        <v>2117</v>
      </c>
      <c r="B270" s="73" t="s">
        <v>2579</v>
      </c>
      <c r="C270" s="74">
        <v>1</v>
      </c>
      <c r="D270" s="77">
        <v>3</v>
      </c>
      <c r="E270" s="73">
        <f t="shared" si="3"/>
        <v>0.33333333333333331</v>
      </c>
      <c r="F270" s="76" t="s">
        <v>2097</v>
      </c>
    </row>
    <row r="271" spans="1:6" x14ac:dyDescent="0.35">
      <c r="A271" s="72" t="s">
        <v>2118</v>
      </c>
      <c r="B271" s="73" t="s">
        <v>2580</v>
      </c>
      <c r="C271" s="74">
        <v>1</v>
      </c>
      <c r="D271" s="77">
        <v>3</v>
      </c>
      <c r="E271" s="73">
        <f t="shared" si="3"/>
        <v>0.33333333333333331</v>
      </c>
      <c r="F271" s="76" t="s">
        <v>2097</v>
      </c>
    </row>
    <row r="272" spans="1:6" x14ac:dyDescent="0.35">
      <c r="A272" s="72" t="s">
        <v>2119</v>
      </c>
      <c r="B272" s="73" t="s">
        <v>2566</v>
      </c>
      <c r="C272" s="74">
        <v>1</v>
      </c>
      <c r="D272" s="77">
        <v>10</v>
      </c>
      <c r="E272" s="73">
        <f t="shared" si="3"/>
        <v>0.1</v>
      </c>
      <c r="F272" s="76" t="s">
        <v>2097</v>
      </c>
    </row>
    <row r="273" spans="1:6" x14ac:dyDescent="0.35">
      <c r="A273" s="78" t="s">
        <v>2120</v>
      </c>
      <c r="B273" s="75" t="s">
        <v>2121</v>
      </c>
      <c r="C273" s="74">
        <v>1</v>
      </c>
      <c r="D273" s="74">
        <v>1</v>
      </c>
      <c r="E273" s="73">
        <f t="shared" si="3"/>
        <v>1</v>
      </c>
      <c r="F273" s="79" t="s">
        <v>1687</v>
      </c>
    </row>
    <row r="274" spans="1:6" x14ac:dyDescent="0.35">
      <c r="A274" s="78" t="s">
        <v>2122</v>
      </c>
      <c r="B274" s="75" t="s">
        <v>2123</v>
      </c>
      <c r="C274" s="74">
        <v>1</v>
      </c>
      <c r="D274" s="74">
        <v>100</v>
      </c>
      <c r="E274" s="73">
        <f t="shared" si="3"/>
        <v>0.01</v>
      </c>
      <c r="F274" s="79" t="s">
        <v>1687</v>
      </c>
    </row>
    <row r="275" spans="1:6" x14ac:dyDescent="0.35">
      <c r="A275" s="78" t="s">
        <v>2124</v>
      </c>
      <c r="B275" s="75" t="s">
        <v>2125</v>
      </c>
      <c r="C275" s="74">
        <v>1</v>
      </c>
      <c r="D275" s="74">
        <v>100</v>
      </c>
      <c r="E275" s="73">
        <f t="shared" si="3"/>
        <v>0.01</v>
      </c>
      <c r="F275" s="79" t="s">
        <v>1687</v>
      </c>
    </row>
    <row r="276" spans="1:6" x14ac:dyDescent="0.35">
      <c r="A276" s="78" t="s">
        <v>2126</v>
      </c>
      <c r="B276" s="75" t="s">
        <v>2520</v>
      </c>
      <c r="C276" s="74">
        <v>1</v>
      </c>
      <c r="D276" s="74">
        <v>768</v>
      </c>
      <c r="E276" s="73">
        <f t="shared" si="3"/>
        <v>1.3020833333333333E-3</v>
      </c>
      <c r="F276" s="79" t="s">
        <v>1687</v>
      </c>
    </row>
    <row r="277" spans="1:6" x14ac:dyDescent="0.35">
      <c r="A277" s="78" t="s">
        <v>2127</v>
      </c>
      <c r="B277" s="75" t="s">
        <v>2719</v>
      </c>
      <c r="C277" s="74">
        <v>1</v>
      </c>
      <c r="D277" s="74">
        <v>5</v>
      </c>
      <c r="E277" s="73">
        <f t="shared" si="3"/>
        <v>0.2</v>
      </c>
      <c r="F277" s="79" t="s">
        <v>1687</v>
      </c>
    </row>
    <row r="278" spans="1:6" x14ac:dyDescent="0.35">
      <c r="A278" s="78" t="s">
        <v>2128</v>
      </c>
      <c r="B278" s="75" t="s">
        <v>1693</v>
      </c>
      <c r="C278" s="74">
        <v>1</v>
      </c>
      <c r="D278" s="74">
        <v>20</v>
      </c>
      <c r="E278" s="73">
        <f t="shared" si="3"/>
        <v>0.05</v>
      </c>
      <c r="F278" s="79" t="s">
        <v>1687</v>
      </c>
    </row>
    <row r="279" spans="1:6" x14ac:dyDescent="0.35">
      <c r="A279" s="78" t="s">
        <v>2129</v>
      </c>
      <c r="B279" s="75" t="s">
        <v>2130</v>
      </c>
      <c r="C279" s="74">
        <v>1</v>
      </c>
      <c r="D279" s="74">
        <v>1</v>
      </c>
      <c r="E279" s="73">
        <f t="shared" ref="E279:E348" si="4">C279/D279</f>
        <v>1</v>
      </c>
      <c r="F279" s="79" t="s">
        <v>1687</v>
      </c>
    </row>
    <row r="280" spans="1:6" x14ac:dyDescent="0.35">
      <c r="A280" s="78" t="s">
        <v>2131</v>
      </c>
      <c r="B280" s="75" t="s">
        <v>2464</v>
      </c>
      <c r="C280" s="74">
        <v>1</v>
      </c>
      <c r="D280" s="74">
        <v>3</v>
      </c>
      <c r="E280" s="73">
        <f t="shared" si="4"/>
        <v>0.33333333333333331</v>
      </c>
      <c r="F280" s="79" t="s">
        <v>1687</v>
      </c>
    </row>
    <row r="281" spans="1:6" x14ac:dyDescent="0.35">
      <c r="A281" s="78" t="s">
        <v>2132</v>
      </c>
      <c r="B281" s="75" t="s">
        <v>2133</v>
      </c>
      <c r="C281" s="74">
        <v>1</v>
      </c>
      <c r="D281" s="74">
        <v>100</v>
      </c>
      <c r="E281" s="73">
        <f t="shared" si="4"/>
        <v>0.01</v>
      </c>
      <c r="F281" s="79" t="s">
        <v>1687</v>
      </c>
    </row>
    <row r="282" spans="1:6" x14ac:dyDescent="0.35">
      <c r="A282" s="78" t="s">
        <v>2134</v>
      </c>
      <c r="B282" s="75" t="s">
        <v>2465</v>
      </c>
      <c r="C282" s="74">
        <v>1</v>
      </c>
      <c r="D282" s="74">
        <v>3</v>
      </c>
      <c r="E282" s="73">
        <f t="shared" si="4"/>
        <v>0.33333333333333331</v>
      </c>
      <c r="F282" s="79" t="s">
        <v>1687</v>
      </c>
    </row>
    <row r="283" spans="1:6" x14ac:dyDescent="0.35">
      <c r="A283" s="78" t="s">
        <v>2135</v>
      </c>
      <c r="B283" s="75" t="s">
        <v>2136</v>
      </c>
      <c r="C283" s="74">
        <v>1</v>
      </c>
      <c r="D283" s="74">
        <v>80</v>
      </c>
      <c r="E283" s="73">
        <f t="shared" si="4"/>
        <v>1.2500000000000001E-2</v>
      </c>
      <c r="F283" s="79" t="s">
        <v>1687</v>
      </c>
    </row>
    <row r="284" spans="1:6" x14ac:dyDescent="0.35">
      <c r="A284" s="72" t="s">
        <v>2137</v>
      </c>
      <c r="B284" s="73" t="s">
        <v>2521</v>
      </c>
      <c r="C284" s="74">
        <v>1</v>
      </c>
      <c r="D284" s="77">
        <v>30</v>
      </c>
      <c r="E284" s="73">
        <f t="shared" si="4"/>
        <v>3.3333333333333333E-2</v>
      </c>
      <c r="F284" s="76" t="s">
        <v>1687</v>
      </c>
    </row>
    <row r="285" spans="1:6" x14ac:dyDescent="0.35">
      <c r="A285" s="78" t="s">
        <v>2138</v>
      </c>
      <c r="B285" s="75" t="s">
        <v>2466</v>
      </c>
      <c r="C285" s="74">
        <v>1</v>
      </c>
      <c r="D285" s="74">
        <v>30</v>
      </c>
      <c r="E285" s="75">
        <f t="shared" si="4"/>
        <v>3.3333333333333333E-2</v>
      </c>
      <c r="F285" s="79" t="s">
        <v>1687</v>
      </c>
    </row>
    <row r="286" spans="1:6" x14ac:dyDescent="0.35">
      <c r="A286" s="78" t="s">
        <v>2139</v>
      </c>
      <c r="B286" s="75" t="s">
        <v>1670</v>
      </c>
      <c r="C286" s="74">
        <v>1</v>
      </c>
      <c r="D286" s="74">
        <v>30</v>
      </c>
      <c r="E286" s="73">
        <f t="shared" si="4"/>
        <v>3.3333333333333333E-2</v>
      </c>
      <c r="F286" s="79" t="s">
        <v>1687</v>
      </c>
    </row>
    <row r="287" spans="1:6" x14ac:dyDescent="0.35">
      <c r="A287" s="78" t="s">
        <v>2140</v>
      </c>
      <c r="B287" s="75" t="s">
        <v>2660</v>
      </c>
      <c r="C287" s="74">
        <v>1</v>
      </c>
      <c r="D287" s="74">
        <v>10</v>
      </c>
      <c r="E287" s="73">
        <f t="shared" si="4"/>
        <v>0.1</v>
      </c>
      <c r="F287" s="79" t="s">
        <v>1687</v>
      </c>
    </row>
    <row r="288" spans="1:6" x14ac:dyDescent="0.35">
      <c r="A288" s="78" t="s">
        <v>2141</v>
      </c>
      <c r="B288" s="75" t="s">
        <v>2142</v>
      </c>
      <c r="C288" s="74">
        <v>1</v>
      </c>
      <c r="D288" s="74">
        <v>1</v>
      </c>
      <c r="E288" s="73">
        <f t="shared" si="4"/>
        <v>1</v>
      </c>
      <c r="F288" s="79" t="s">
        <v>1687</v>
      </c>
    </row>
    <row r="289" spans="1:6" x14ac:dyDescent="0.35">
      <c r="A289" s="78" t="s">
        <v>2143</v>
      </c>
      <c r="B289" s="75" t="s">
        <v>2522</v>
      </c>
      <c r="C289" s="74">
        <v>1</v>
      </c>
      <c r="D289" s="74">
        <v>15</v>
      </c>
      <c r="E289" s="73">
        <f t="shared" si="4"/>
        <v>6.6666666666666666E-2</v>
      </c>
      <c r="F289" s="79" t="s">
        <v>1687</v>
      </c>
    </row>
    <row r="290" spans="1:6" x14ac:dyDescent="0.35">
      <c r="A290" s="78" t="s">
        <v>2144</v>
      </c>
      <c r="B290" s="75" t="s">
        <v>2661</v>
      </c>
      <c r="C290" s="74">
        <v>1</v>
      </c>
      <c r="D290" s="74">
        <v>15</v>
      </c>
      <c r="E290" s="73">
        <f t="shared" si="4"/>
        <v>6.6666666666666666E-2</v>
      </c>
      <c r="F290" s="79" t="s">
        <v>1687</v>
      </c>
    </row>
    <row r="291" spans="1:6" x14ac:dyDescent="0.35">
      <c r="A291" s="78" t="s">
        <v>2145</v>
      </c>
      <c r="B291" s="75" t="s">
        <v>2523</v>
      </c>
      <c r="C291" s="74">
        <v>1</v>
      </c>
      <c r="D291" s="74">
        <v>10</v>
      </c>
      <c r="E291" s="73">
        <f t="shared" si="4"/>
        <v>0.1</v>
      </c>
      <c r="F291" s="79" t="s">
        <v>1687</v>
      </c>
    </row>
    <row r="292" spans="1:6" x14ac:dyDescent="0.35">
      <c r="A292" s="78" t="s">
        <v>2146</v>
      </c>
      <c r="B292" s="75" t="s">
        <v>1679</v>
      </c>
      <c r="C292" s="74">
        <v>1</v>
      </c>
      <c r="D292" s="74">
        <v>10</v>
      </c>
      <c r="E292" s="73">
        <f t="shared" si="4"/>
        <v>0.1</v>
      </c>
      <c r="F292" s="79" t="s">
        <v>1687</v>
      </c>
    </row>
    <row r="293" spans="1:6" x14ac:dyDescent="0.35">
      <c r="A293" s="72" t="s">
        <v>2147</v>
      </c>
      <c r="B293" s="73" t="s">
        <v>2148</v>
      </c>
      <c r="C293" s="74">
        <v>1</v>
      </c>
      <c r="D293" s="77">
        <v>1</v>
      </c>
      <c r="E293" s="73">
        <f t="shared" si="4"/>
        <v>1</v>
      </c>
      <c r="F293" s="76" t="s">
        <v>1687</v>
      </c>
    </row>
    <row r="294" spans="1:6" x14ac:dyDescent="0.35">
      <c r="A294" s="78" t="s">
        <v>2149</v>
      </c>
      <c r="B294" s="75" t="s">
        <v>2150</v>
      </c>
      <c r="C294" s="74">
        <v>1</v>
      </c>
      <c r="D294" s="74">
        <v>1</v>
      </c>
      <c r="E294" s="73">
        <f t="shared" si="4"/>
        <v>1</v>
      </c>
      <c r="F294" s="79" t="s">
        <v>1687</v>
      </c>
    </row>
    <row r="295" spans="1:6" x14ac:dyDescent="0.35">
      <c r="A295" s="78" t="s">
        <v>2151</v>
      </c>
      <c r="B295" s="75" t="s">
        <v>2524</v>
      </c>
      <c r="C295" s="74">
        <v>1</v>
      </c>
      <c r="D295" s="74">
        <v>10</v>
      </c>
      <c r="E295" s="73">
        <f t="shared" si="4"/>
        <v>0.1</v>
      </c>
      <c r="F295" s="79" t="s">
        <v>1687</v>
      </c>
    </row>
    <row r="296" spans="1:6" x14ac:dyDescent="0.35">
      <c r="A296" s="78" t="s">
        <v>2152</v>
      </c>
      <c r="B296" s="75" t="s">
        <v>2153</v>
      </c>
      <c r="C296" s="74">
        <v>1</v>
      </c>
      <c r="D296" s="74">
        <v>1</v>
      </c>
      <c r="E296" s="73">
        <f t="shared" si="4"/>
        <v>1</v>
      </c>
      <c r="F296" s="79" t="s">
        <v>1687</v>
      </c>
    </row>
    <row r="297" spans="1:6" x14ac:dyDescent="0.35">
      <c r="A297" s="78" t="s">
        <v>2154</v>
      </c>
      <c r="B297" s="75" t="s">
        <v>2696</v>
      </c>
      <c r="C297" s="74">
        <v>1</v>
      </c>
      <c r="D297" s="74">
        <v>20</v>
      </c>
      <c r="E297" s="73">
        <f t="shared" si="4"/>
        <v>0.05</v>
      </c>
      <c r="F297" s="79" t="s">
        <v>1687</v>
      </c>
    </row>
    <row r="298" spans="1:6" x14ac:dyDescent="0.35">
      <c r="A298" s="78" t="s">
        <v>2155</v>
      </c>
      <c r="B298" s="75" t="s">
        <v>2703</v>
      </c>
      <c r="C298" s="74">
        <v>1</v>
      </c>
      <c r="D298" s="74">
        <v>30</v>
      </c>
      <c r="E298" s="73">
        <f t="shared" si="4"/>
        <v>3.3333333333333333E-2</v>
      </c>
      <c r="F298" s="79" t="s">
        <v>1687</v>
      </c>
    </row>
    <row r="299" spans="1:6" x14ac:dyDescent="0.35">
      <c r="A299" s="72" t="s">
        <v>2156</v>
      </c>
      <c r="B299" s="73" t="s">
        <v>2157</v>
      </c>
      <c r="C299" s="74">
        <v>1</v>
      </c>
      <c r="D299" s="77">
        <v>1</v>
      </c>
      <c r="E299" s="73">
        <f t="shared" si="4"/>
        <v>1</v>
      </c>
      <c r="F299" s="76" t="s">
        <v>1687</v>
      </c>
    </row>
    <row r="300" spans="1:6" x14ac:dyDescent="0.35">
      <c r="A300" s="72" t="s">
        <v>2158</v>
      </c>
      <c r="B300" s="73" t="s">
        <v>2159</v>
      </c>
      <c r="C300" s="74">
        <v>1</v>
      </c>
      <c r="D300" s="77">
        <v>1</v>
      </c>
      <c r="E300" s="73">
        <f t="shared" si="4"/>
        <v>1</v>
      </c>
      <c r="F300" s="76" t="s">
        <v>1687</v>
      </c>
    </row>
    <row r="301" spans="1:6" x14ac:dyDescent="0.35">
      <c r="A301" s="78" t="s">
        <v>2160</v>
      </c>
      <c r="B301" s="75" t="s">
        <v>2488</v>
      </c>
      <c r="C301" s="74">
        <v>1</v>
      </c>
      <c r="D301" s="74">
        <v>5</v>
      </c>
      <c r="E301" s="73">
        <f t="shared" si="4"/>
        <v>0.2</v>
      </c>
      <c r="F301" s="79" t="s">
        <v>1687</v>
      </c>
    </row>
    <row r="302" spans="1:6" x14ac:dyDescent="0.35">
      <c r="A302" s="72" t="s">
        <v>2161</v>
      </c>
      <c r="B302" s="73" t="s">
        <v>2162</v>
      </c>
      <c r="C302" s="77"/>
      <c r="D302" s="77">
        <v>1</v>
      </c>
      <c r="E302" s="73"/>
      <c r="F302" s="79" t="s">
        <v>1687</v>
      </c>
    </row>
    <row r="303" spans="1:6" x14ac:dyDescent="0.35">
      <c r="A303" s="72" t="s">
        <v>2163</v>
      </c>
      <c r="B303" s="73" t="s">
        <v>2164</v>
      </c>
      <c r="C303" s="77"/>
      <c r="D303" s="77">
        <v>1</v>
      </c>
      <c r="E303" s="73"/>
      <c r="F303" s="79" t="s">
        <v>1687</v>
      </c>
    </row>
    <row r="304" spans="1:6" x14ac:dyDescent="0.35">
      <c r="A304" s="72" t="s">
        <v>2165</v>
      </c>
      <c r="B304" s="73" t="s">
        <v>2166</v>
      </c>
      <c r="C304" s="77"/>
      <c r="D304" s="77">
        <v>1</v>
      </c>
      <c r="E304" s="73"/>
      <c r="F304" s="79" t="s">
        <v>1687</v>
      </c>
    </row>
    <row r="305" spans="1:6" x14ac:dyDescent="0.35">
      <c r="A305" s="78" t="s">
        <v>2167</v>
      </c>
      <c r="B305" s="75" t="s">
        <v>1692</v>
      </c>
      <c r="C305" s="74">
        <v>1</v>
      </c>
      <c r="D305" s="74">
        <v>10</v>
      </c>
      <c r="E305" s="73">
        <f t="shared" si="4"/>
        <v>0.1</v>
      </c>
      <c r="F305" s="79" t="s">
        <v>1687</v>
      </c>
    </row>
    <row r="306" spans="1:6" x14ac:dyDescent="0.35">
      <c r="A306" s="78" t="s">
        <v>2168</v>
      </c>
      <c r="B306" s="75" t="s">
        <v>2169</v>
      </c>
      <c r="C306" s="74">
        <v>1</v>
      </c>
      <c r="D306" s="75">
        <v>1</v>
      </c>
      <c r="E306" s="73">
        <f t="shared" si="4"/>
        <v>1</v>
      </c>
      <c r="F306" s="79" t="s">
        <v>1687</v>
      </c>
    </row>
    <row r="307" spans="1:6" x14ac:dyDescent="0.35">
      <c r="A307" s="78" t="s">
        <v>2170</v>
      </c>
      <c r="B307" s="75" t="s">
        <v>2171</v>
      </c>
      <c r="C307" s="74">
        <v>1</v>
      </c>
      <c r="D307" s="75">
        <v>3</v>
      </c>
      <c r="E307" s="73">
        <f t="shared" si="4"/>
        <v>0.33333333333333331</v>
      </c>
      <c r="F307" s="79" t="s">
        <v>1687</v>
      </c>
    </row>
    <row r="308" spans="1:6" x14ac:dyDescent="0.35">
      <c r="A308" s="78" t="s">
        <v>2172</v>
      </c>
      <c r="B308" s="75" t="s">
        <v>2525</v>
      </c>
      <c r="C308" s="74">
        <v>1</v>
      </c>
      <c r="D308" s="74">
        <v>30</v>
      </c>
      <c r="E308" s="73">
        <f t="shared" si="4"/>
        <v>3.3333333333333333E-2</v>
      </c>
      <c r="F308" s="79" t="s">
        <v>1687</v>
      </c>
    </row>
    <row r="309" spans="1:6" x14ac:dyDescent="0.35">
      <c r="A309" s="78" t="s">
        <v>2173</v>
      </c>
      <c r="B309" s="75" t="s">
        <v>2526</v>
      </c>
      <c r="C309" s="74">
        <v>1</v>
      </c>
      <c r="D309" s="74">
        <v>30</v>
      </c>
      <c r="E309" s="73">
        <f t="shared" si="4"/>
        <v>3.3333333333333333E-2</v>
      </c>
      <c r="F309" s="79" t="s">
        <v>1687</v>
      </c>
    </row>
    <row r="310" spans="1:6" x14ac:dyDescent="0.35">
      <c r="A310" s="78" t="s">
        <v>2174</v>
      </c>
      <c r="B310" s="75" t="s">
        <v>2175</v>
      </c>
      <c r="C310" s="74">
        <v>1</v>
      </c>
      <c r="D310" s="74">
        <v>1</v>
      </c>
      <c r="E310" s="73">
        <f t="shared" si="4"/>
        <v>1</v>
      </c>
      <c r="F310" s="79" t="s">
        <v>1687</v>
      </c>
    </row>
    <row r="311" spans="1:6" x14ac:dyDescent="0.35">
      <c r="A311" s="78" t="s">
        <v>2176</v>
      </c>
      <c r="B311" s="75" t="s">
        <v>2177</v>
      </c>
      <c r="C311" s="74">
        <v>1</v>
      </c>
      <c r="D311" s="74">
        <v>1</v>
      </c>
      <c r="E311" s="73">
        <f t="shared" si="4"/>
        <v>1</v>
      </c>
      <c r="F311" s="79" t="s">
        <v>1687</v>
      </c>
    </row>
    <row r="312" spans="1:6" x14ac:dyDescent="0.35">
      <c r="A312" s="78" t="s">
        <v>2178</v>
      </c>
      <c r="B312" s="75" t="s">
        <v>2601</v>
      </c>
      <c r="C312" s="74">
        <v>1</v>
      </c>
      <c r="D312" s="74">
        <v>10</v>
      </c>
      <c r="E312" s="73">
        <f t="shared" si="4"/>
        <v>0.1</v>
      </c>
      <c r="F312" s="79" t="s">
        <v>1687</v>
      </c>
    </row>
    <row r="313" spans="1:6" x14ac:dyDescent="0.35">
      <c r="A313" s="78" t="s">
        <v>2179</v>
      </c>
      <c r="B313" s="75" t="s">
        <v>2467</v>
      </c>
      <c r="C313" s="74">
        <v>1</v>
      </c>
      <c r="D313" s="74">
        <v>50</v>
      </c>
      <c r="E313" s="73">
        <f t="shared" si="4"/>
        <v>0.02</v>
      </c>
      <c r="F313" s="79" t="s">
        <v>2180</v>
      </c>
    </row>
    <row r="314" spans="1:6" x14ac:dyDescent="0.35">
      <c r="A314" s="72" t="s">
        <v>2181</v>
      </c>
      <c r="B314" s="73" t="s">
        <v>2527</v>
      </c>
      <c r="C314" s="74">
        <v>1</v>
      </c>
      <c r="D314" s="77">
        <v>10</v>
      </c>
      <c r="E314" s="73">
        <f t="shared" si="4"/>
        <v>0.1</v>
      </c>
      <c r="F314" s="76" t="s">
        <v>2180</v>
      </c>
    </row>
    <row r="315" spans="1:6" x14ac:dyDescent="0.35">
      <c r="A315" s="78" t="s">
        <v>2182</v>
      </c>
      <c r="B315" s="75" t="s">
        <v>2602</v>
      </c>
      <c r="C315" s="74">
        <v>1</v>
      </c>
      <c r="D315" s="74">
        <v>50</v>
      </c>
      <c r="E315" s="73">
        <f t="shared" si="4"/>
        <v>0.02</v>
      </c>
      <c r="F315" s="79" t="s">
        <v>2180</v>
      </c>
    </row>
    <row r="316" spans="1:6" x14ac:dyDescent="0.35">
      <c r="A316" s="72" t="s">
        <v>2183</v>
      </c>
      <c r="B316" s="73" t="s">
        <v>2184</v>
      </c>
      <c r="C316" s="74">
        <v>1</v>
      </c>
      <c r="D316" s="77">
        <v>10</v>
      </c>
      <c r="E316" s="73">
        <f t="shared" si="4"/>
        <v>0.1</v>
      </c>
      <c r="F316" s="76" t="s">
        <v>2180</v>
      </c>
    </row>
    <row r="317" spans="1:6" x14ac:dyDescent="0.35">
      <c r="A317" s="72" t="s">
        <v>2185</v>
      </c>
      <c r="B317" s="73" t="s">
        <v>2528</v>
      </c>
      <c r="C317" s="74">
        <v>1</v>
      </c>
      <c r="D317" s="77">
        <v>10</v>
      </c>
      <c r="E317" s="73">
        <f t="shared" si="4"/>
        <v>0.1</v>
      </c>
      <c r="F317" s="76" t="s">
        <v>2180</v>
      </c>
    </row>
    <row r="318" spans="1:6" x14ac:dyDescent="0.35">
      <c r="A318" s="72" t="s">
        <v>2186</v>
      </c>
      <c r="B318" s="73" t="s">
        <v>2642</v>
      </c>
      <c r="C318" s="74">
        <v>1</v>
      </c>
      <c r="D318" s="77">
        <v>2</v>
      </c>
      <c r="E318" s="73">
        <f t="shared" si="4"/>
        <v>0.5</v>
      </c>
      <c r="F318" s="76" t="s">
        <v>2180</v>
      </c>
    </row>
    <row r="319" spans="1:6" x14ac:dyDescent="0.35">
      <c r="A319" s="78" t="s">
        <v>2187</v>
      </c>
      <c r="B319" s="75" t="s">
        <v>2188</v>
      </c>
      <c r="C319" s="74">
        <v>1</v>
      </c>
      <c r="D319" s="74">
        <v>5</v>
      </c>
      <c r="E319" s="73">
        <f t="shared" si="4"/>
        <v>0.2</v>
      </c>
      <c r="F319" s="79" t="s">
        <v>2180</v>
      </c>
    </row>
    <row r="320" spans="1:6" x14ac:dyDescent="0.35">
      <c r="A320" s="72" t="s">
        <v>2189</v>
      </c>
      <c r="B320" s="73" t="s">
        <v>2720</v>
      </c>
      <c r="C320" s="74">
        <v>1</v>
      </c>
      <c r="D320" s="77">
        <v>20</v>
      </c>
      <c r="E320" s="73">
        <f t="shared" si="4"/>
        <v>0.05</v>
      </c>
      <c r="F320" s="76" t="s">
        <v>2180</v>
      </c>
    </row>
    <row r="321" spans="1:6" x14ac:dyDescent="0.35">
      <c r="A321" s="78" t="s">
        <v>2190</v>
      </c>
      <c r="B321" s="75" t="s">
        <v>2529</v>
      </c>
      <c r="C321" s="74">
        <v>1</v>
      </c>
      <c r="D321" s="74">
        <v>30</v>
      </c>
      <c r="E321" s="73">
        <f t="shared" si="4"/>
        <v>3.3333333333333333E-2</v>
      </c>
      <c r="F321" s="79" t="s">
        <v>2180</v>
      </c>
    </row>
    <row r="322" spans="1:6" x14ac:dyDescent="0.35">
      <c r="A322" s="78" t="s">
        <v>2191</v>
      </c>
      <c r="B322" s="75" t="s">
        <v>2530</v>
      </c>
      <c r="C322" s="74">
        <v>1</v>
      </c>
      <c r="D322" s="74">
        <v>9</v>
      </c>
      <c r="E322" s="73">
        <f t="shared" si="4"/>
        <v>0.1111111111111111</v>
      </c>
      <c r="F322" s="79" t="s">
        <v>2180</v>
      </c>
    </row>
    <row r="323" spans="1:6" x14ac:dyDescent="0.35">
      <c r="A323" s="78" t="s">
        <v>2192</v>
      </c>
      <c r="B323" s="75" t="s">
        <v>2193</v>
      </c>
      <c r="C323" s="74">
        <v>1</v>
      </c>
      <c r="D323" s="74">
        <v>30</v>
      </c>
      <c r="E323" s="73">
        <f t="shared" si="4"/>
        <v>3.3333333333333333E-2</v>
      </c>
      <c r="F323" s="79" t="s">
        <v>2180</v>
      </c>
    </row>
    <row r="324" spans="1:6" x14ac:dyDescent="0.35">
      <c r="A324" s="78" t="s">
        <v>2194</v>
      </c>
      <c r="B324" s="75" t="s">
        <v>1713</v>
      </c>
      <c r="C324" s="74">
        <v>1</v>
      </c>
      <c r="D324" s="74">
        <v>10</v>
      </c>
      <c r="E324" s="73">
        <f t="shared" si="4"/>
        <v>0.1</v>
      </c>
      <c r="F324" s="79" t="s">
        <v>2180</v>
      </c>
    </row>
    <row r="325" spans="1:6" x14ac:dyDescent="0.35">
      <c r="A325" s="78" t="s">
        <v>2195</v>
      </c>
      <c r="B325" s="75" t="s">
        <v>2531</v>
      </c>
      <c r="C325" s="74">
        <v>1</v>
      </c>
      <c r="D325" s="74">
        <v>10</v>
      </c>
      <c r="E325" s="73">
        <f t="shared" si="4"/>
        <v>0.1</v>
      </c>
      <c r="F325" s="79" t="s">
        <v>2180</v>
      </c>
    </row>
    <row r="326" spans="1:6" x14ac:dyDescent="0.35">
      <c r="A326" s="78" t="s">
        <v>2196</v>
      </c>
      <c r="B326" s="75" t="s">
        <v>2532</v>
      </c>
      <c r="C326" s="74">
        <v>1</v>
      </c>
      <c r="D326" s="74">
        <v>30</v>
      </c>
      <c r="E326" s="73">
        <f t="shared" si="4"/>
        <v>3.3333333333333333E-2</v>
      </c>
      <c r="F326" s="79" t="s">
        <v>2180</v>
      </c>
    </row>
    <row r="327" spans="1:6" x14ac:dyDescent="0.35">
      <c r="A327" s="78" t="s">
        <v>2197</v>
      </c>
      <c r="B327" s="75" t="s">
        <v>1718</v>
      </c>
      <c r="C327" s="74">
        <v>1</v>
      </c>
      <c r="D327" s="74">
        <v>3</v>
      </c>
      <c r="E327" s="73">
        <f t="shared" si="4"/>
        <v>0.33333333333333331</v>
      </c>
      <c r="F327" s="79" t="s">
        <v>2180</v>
      </c>
    </row>
    <row r="328" spans="1:6" x14ac:dyDescent="0.35">
      <c r="A328" s="78" t="s">
        <v>2198</v>
      </c>
      <c r="B328" s="75" t="s">
        <v>1721</v>
      </c>
      <c r="C328" s="74">
        <v>1</v>
      </c>
      <c r="D328" s="74">
        <v>3</v>
      </c>
      <c r="E328" s="73">
        <f t="shared" si="4"/>
        <v>0.33333333333333331</v>
      </c>
      <c r="F328" s="79" t="s">
        <v>2180</v>
      </c>
    </row>
    <row r="329" spans="1:6" x14ac:dyDescent="0.35">
      <c r="A329" s="78" t="s">
        <v>2199</v>
      </c>
      <c r="B329" s="75" t="s">
        <v>2533</v>
      </c>
      <c r="C329" s="74">
        <v>1</v>
      </c>
      <c r="D329" s="74">
        <v>10</v>
      </c>
      <c r="E329" s="73">
        <f t="shared" si="4"/>
        <v>0.1</v>
      </c>
      <c r="F329" s="79" t="s">
        <v>2180</v>
      </c>
    </row>
    <row r="330" spans="1:6" x14ac:dyDescent="0.35">
      <c r="A330" s="78" t="s">
        <v>2200</v>
      </c>
      <c r="B330" s="75" t="s">
        <v>2616</v>
      </c>
      <c r="C330" s="74">
        <v>1</v>
      </c>
      <c r="D330" s="74">
        <v>10</v>
      </c>
      <c r="E330" s="73">
        <f t="shared" si="4"/>
        <v>0.1</v>
      </c>
      <c r="F330" s="79" t="s">
        <v>2180</v>
      </c>
    </row>
    <row r="331" spans="1:6" x14ac:dyDescent="0.35">
      <c r="A331" s="78" t="s">
        <v>2201</v>
      </c>
      <c r="B331" s="75" t="s">
        <v>1726</v>
      </c>
      <c r="C331" s="74">
        <v>1</v>
      </c>
      <c r="D331" s="74">
        <v>5</v>
      </c>
      <c r="E331" s="73">
        <f t="shared" si="4"/>
        <v>0.2</v>
      </c>
      <c r="F331" s="79" t="s">
        <v>2180</v>
      </c>
    </row>
    <row r="332" spans="1:6" x14ac:dyDescent="0.35">
      <c r="A332" s="78" t="s">
        <v>2202</v>
      </c>
      <c r="B332" s="75" t="s">
        <v>2699</v>
      </c>
      <c r="C332" s="74">
        <v>1</v>
      </c>
      <c r="D332" s="74">
        <v>10</v>
      </c>
      <c r="E332" s="73">
        <f t="shared" si="4"/>
        <v>0.1</v>
      </c>
      <c r="F332" s="79" t="s">
        <v>2180</v>
      </c>
    </row>
    <row r="333" spans="1:6" x14ac:dyDescent="0.35">
      <c r="A333" s="78" t="s">
        <v>2203</v>
      </c>
      <c r="B333" s="75" t="s">
        <v>2468</v>
      </c>
      <c r="C333" s="74">
        <v>1</v>
      </c>
      <c r="D333" s="74">
        <v>10</v>
      </c>
      <c r="E333" s="73">
        <f t="shared" si="4"/>
        <v>0.1</v>
      </c>
      <c r="F333" s="79" t="s">
        <v>2180</v>
      </c>
    </row>
    <row r="334" spans="1:6" x14ac:dyDescent="0.35">
      <c r="A334" s="72" t="s">
        <v>2204</v>
      </c>
      <c r="B334" s="73" t="s">
        <v>2581</v>
      </c>
      <c r="C334" s="74">
        <v>1</v>
      </c>
      <c r="D334" s="73">
        <v>30</v>
      </c>
      <c r="E334" s="73">
        <f t="shared" si="4"/>
        <v>3.3333333333333333E-2</v>
      </c>
      <c r="F334" s="76" t="s">
        <v>2180</v>
      </c>
    </row>
    <row r="335" spans="1:6" x14ac:dyDescent="0.35">
      <c r="A335" s="78" t="s">
        <v>2205</v>
      </c>
      <c r="B335" s="75" t="s">
        <v>2582</v>
      </c>
      <c r="C335" s="74">
        <v>1</v>
      </c>
      <c r="D335" s="75">
        <v>15</v>
      </c>
      <c r="E335" s="73">
        <f t="shared" si="4"/>
        <v>6.6666666666666666E-2</v>
      </c>
      <c r="F335" s="79" t="s">
        <v>2180</v>
      </c>
    </row>
    <row r="336" spans="1:6" x14ac:dyDescent="0.35">
      <c r="A336" s="72" t="s">
        <v>2206</v>
      </c>
      <c r="B336" s="73" t="s">
        <v>2700</v>
      </c>
      <c r="C336" s="74">
        <v>1</v>
      </c>
      <c r="D336" s="77">
        <v>10</v>
      </c>
      <c r="E336" s="73">
        <f t="shared" si="4"/>
        <v>0.1</v>
      </c>
      <c r="F336" s="76" t="s">
        <v>2180</v>
      </c>
    </row>
    <row r="337" spans="1:6" x14ac:dyDescent="0.35">
      <c r="A337" s="78" t="s">
        <v>2207</v>
      </c>
      <c r="B337" s="75" t="s">
        <v>2687</v>
      </c>
      <c r="C337" s="74">
        <v>1</v>
      </c>
      <c r="D337" s="74">
        <v>10</v>
      </c>
      <c r="E337" s="73">
        <f t="shared" si="4"/>
        <v>0.1</v>
      </c>
      <c r="F337" s="79" t="s">
        <v>2180</v>
      </c>
    </row>
    <row r="338" spans="1:6" x14ac:dyDescent="0.35">
      <c r="A338" s="78" t="s">
        <v>2208</v>
      </c>
      <c r="B338" s="75" t="s">
        <v>2209</v>
      </c>
      <c r="C338" s="74">
        <v>1</v>
      </c>
      <c r="D338" s="74">
        <v>3</v>
      </c>
      <c r="E338" s="73">
        <f t="shared" si="4"/>
        <v>0.33333333333333331</v>
      </c>
      <c r="F338" s="79" t="s">
        <v>2180</v>
      </c>
    </row>
    <row r="339" spans="1:6" x14ac:dyDescent="0.35">
      <c r="A339" s="78" t="s">
        <v>2210</v>
      </c>
      <c r="B339" s="75" t="s">
        <v>2211</v>
      </c>
      <c r="C339" s="74">
        <v>1</v>
      </c>
      <c r="D339" s="74">
        <v>3</v>
      </c>
      <c r="E339" s="73">
        <f t="shared" si="4"/>
        <v>0.33333333333333331</v>
      </c>
      <c r="F339" s="79" t="s">
        <v>2180</v>
      </c>
    </row>
    <row r="340" spans="1:6" x14ac:dyDescent="0.35">
      <c r="A340" s="78" t="s">
        <v>2212</v>
      </c>
      <c r="B340" s="75" t="s">
        <v>2213</v>
      </c>
      <c r="C340" s="74"/>
      <c r="D340" s="74">
        <v>3</v>
      </c>
      <c r="E340" s="73"/>
      <c r="F340" s="79" t="s">
        <v>2180</v>
      </c>
    </row>
    <row r="341" spans="1:6" x14ac:dyDescent="0.35">
      <c r="A341" s="78" t="s">
        <v>2214</v>
      </c>
      <c r="B341" s="75" t="s">
        <v>1734</v>
      </c>
      <c r="C341" s="74">
        <v>1</v>
      </c>
      <c r="D341" s="74">
        <v>10</v>
      </c>
      <c r="E341" s="73">
        <f t="shared" si="4"/>
        <v>0.1</v>
      </c>
      <c r="F341" s="79" t="s">
        <v>2180</v>
      </c>
    </row>
    <row r="342" spans="1:6" x14ac:dyDescent="0.35">
      <c r="A342" s="78" t="s">
        <v>2215</v>
      </c>
      <c r="B342" s="75" t="s">
        <v>2216</v>
      </c>
      <c r="C342" s="74">
        <v>1</v>
      </c>
      <c r="D342" s="75">
        <v>18</v>
      </c>
      <c r="E342" s="73">
        <f t="shared" si="4"/>
        <v>5.5555555555555552E-2</v>
      </c>
      <c r="F342" s="79" t="s">
        <v>2180</v>
      </c>
    </row>
    <row r="343" spans="1:6" x14ac:dyDescent="0.35">
      <c r="A343" s="78" t="s">
        <v>2217</v>
      </c>
      <c r="B343" s="75" t="s">
        <v>2218</v>
      </c>
      <c r="C343" s="74">
        <v>1</v>
      </c>
      <c r="D343" s="75">
        <v>10</v>
      </c>
      <c r="E343" s="73">
        <f t="shared" si="4"/>
        <v>0.1</v>
      </c>
      <c r="F343" s="79" t="s">
        <v>2180</v>
      </c>
    </row>
    <row r="344" spans="1:6" x14ac:dyDescent="0.35">
      <c r="A344" s="78" t="s">
        <v>2219</v>
      </c>
      <c r="B344" s="75" t="s">
        <v>2220</v>
      </c>
      <c r="C344" s="74"/>
      <c r="D344" s="75">
        <v>3</v>
      </c>
      <c r="E344" s="73"/>
      <c r="F344" s="79" t="s">
        <v>2180</v>
      </c>
    </row>
    <row r="345" spans="1:6" x14ac:dyDescent="0.35">
      <c r="A345" s="78" t="s">
        <v>2221</v>
      </c>
      <c r="B345" s="75" t="s">
        <v>2222</v>
      </c>
      <c r="C345" s="74">
        <v>1</v>
      </c>
      <c r="D345" s="75">
        <v>3</v>
      </c>
      <c r="E345" s="73">
        <f t="shared" si="4"/>
        <v>0.33333333333333331</v>
      </c>
      <c r="F345" s="79" t="s">
        <v>2180</v>
      </c>
    </row>
    <row r="346" spans="1:6" x14ac:dyDescent="0.35">
      <c r="A346" s="78" t="s">
        <v>2223</v>
      </c>
      <c r="B346" s="75" t="s">
        <v>2224</v>
      </c>
      <c r="C346" s="74">
        <v>1</v>
      </c>
      <c r="D346" s="75">
        <v>3</v>
      </c>
      <c r="E346" s="73">
        <f t="shared" si="4"/>
        <v>0.33333333333333331</v>
      </c>
      <c r="F346" s="79" t="s">
        <v>2180</v>
      </c>
    </row>
    <row r="347" spans="1:6" x14ac:dyDescent="0.35">
      <c r="A347" s="72" t="s">
        <v>2225</v>
      </c>
      <c r="B347" s="73" t="s">
        <v>2226</v>
      </c>
      <c r="C347" s="74">
        <v>1</v>
      </c>
      <c r="D347" s="77">
        <v>3</v>
      </c>
      <c r="E347" s="73">
        <f t="shared" si="4"/>
        <v>0.33333333333333331</v>
      </c>
      <c r="F347" s="76" t="s">
        <v>2227</v>
      </c>
    </row>
    <row r="348" spans="1:6" x14ac:dyDescent="0.35">
      <c r="A348" s="72" t="s">
        <v>2228</v>
      </c>
      <c r="B348" s="73" t="s">
        <v>2229</v>
      </c>
      <c r="C348" s="74">
        <v>1</v>
      </c>
      <c r="D348" s="77">
        <v>3</v>
      </c>
      <c r="E348" s="73">
        <f t="shared" si="4"/>
        <v>0.33333333333333331</v>
      </c>
      <c r="F348" s="76" t="s">
        <v>2227</v>
      </c>
    </row>
    <row r="349" spans="1:6" x14ac:dyDescent="0.35">
      <c r="A349" s="72" t="s">
        <v>2230</v>
      </c>
      <c r="B349" s="73" t="s">
        <v>2534</v>
      </c>
      <c r="C349" s="74">
        <v>1</v>
      </c>
      <c r="D349" s="77">
        <v>30</v>
      </c>
      <c r="E349" s="73">
        <f t="shared" ref="E349:E412" si="5">C349/D349</f>
        <v>3.3333333333333333E-2</v>
      </c>
      <c r="F349" s="76" t="s">
        <v>2227</v>
      </c>
    </row>
    <row r="350" spans="1:6" x14ac:dyDescent="0.35">
      <c r="A350" s="72" t="s">
        <v>2231</v>
      </c>
      <c r="B350" s="73" t="s">
        <v>2567</v>
      </c>
      <c r="C350" s="74">
        <v>1</v>
      </c>
      <c r="D350" s="77">
        <v>15</v>
      </c>
      <c r="E350" s="73">
        <f t="shared" si="5"/>
        <v>6.6666666666666666E-2</v>
      </c>
      <c r="F350" s="76" t="s">
        <v>2227</v>
      </c>
    </row>
    <row r="351" spans="1:6" x14ac:dyDescent="0.35">
      <c r="A351" s="72" t="s">
        <v>2232</v>
      </c>
      <c r="B351" s="73" t="s">
        <v>2662</v>
      </c>
      <c r="C351" s="74">
        <v>1</v>
      </c>
      <c r="D351" s="77">
        <v>15</v>
      </c>
      <c r="E351" s="73">
        <f t="shared" si="5"/>
        <v>6.6666666666666666E-2</v>
      </c>
      <c r="F351" s="76" t="s">
        <v>2227</v>
      </c>
    </row>
    <row r="352" spans="1:6" x14ac:dyDescent="0.35">
      <c r="A352" s="72" t="s">
        <v>2233</v>
      </c>
      <c r="B352" s="73" t="s">
        <v>2583</v>
      </c>
      <c r="C352" s="74">
        <v>1</v>
      </c>
      <c r="D352" s="77">
        <v>10</v>
      </c>
      <c r="E352" s="73">
        <f t="shared" si="5"/>
        <v>0.1</v>
      </c>
      <c r="F352" s="76" t="s">
        <v>2227</v>
      </c>
    </row>
    <row r="353" spans="1:6" x14ac:dyDescent="0.35">
      <c r="A353" s="72" t="s">
        <v>2234</v>
      </c>
      <c r="B353" s="73" t="s">
        <v>2584</v>
      </c>
      <c r="C353" s="74">
        <v>1</v>
      </c>
      <c r="D353" s="77">
        <v>10</v>
      </c>
      <c r="E353" s="73">
        <f t="shared" si="5"/>
        <v>0.1</v>
      </c>
      <c r="F353" s="76" t="s">
        <v>2227</v>
      </c>
    </row>
    <row r="354" spans="1:6" x14ac:dyDescent="0.35">
      <c r="A354" s="72" t="s">
        <v>2235</v>
      </c>
      <c r="B354" s="73" t="s">
        <v>2236</v>
      </c>
      <c r="C354" s="74">
        <v>1</v>
      </c>
      <c r="D354" s="73">
        <v>10</v>
      </c>
      <c r="E354" s="73">
        <f t="shared" si="5"/>
        <v>0.1</v>
      </c>
      <c r="F354" s="76" t="s">
        <v>2227</v>
      </c>
    </row>
    <row r="355" spans="1:6" x14ac:dyDescent="0.35">
      <c r="A355" s="72" t="s">
        <v>2237</v>
      </c>
      <c r="B355" s="73" t="s">
        <v>2238</v>
      </c>
      <c r="C355" s="74">
        <v>1</v>
      </c>
      <c r="D355" s="77">
        <v>10</v>
      </c>
      <c r="E355" s="73">
        <f t="shared" si="5"/>
        <v>0.1</v>
      </c>
      <c r="F355" s="76" t="s">
        <v>2227</v>
      </c>
    </row>
    <row r="356" spans="1:6" x14ac:dyDescent="0.35">
      <c r="A356" s="72" t="s">
        <v>2239</v>
      </c>
      <c r="B356" s="73" t="s">
        <v>2240</v>
      </c>
      <c r="C356" s="74">
        <v>1</v>
      </c>
      <c r="D356" s="77">
        <v>10</v>
      </c>
      <c r="E356" s="73">
        <f t="shared" si="5"/>
        <v>0.1</v>
      </c>
      <c r="F356" s="76" t="s">
        <v>2227</v>
      </c>
    </row>
    <row r="357" spans="1:6" x14ac:dyDescent="0.35">
      <c r="A357" s="72" t="s">
        <v>2241</v>
      </c>
      <c r="B357" s="73" t="s">
        <v>2242</v>
      </c>
      <c r="C357" s="74">
        <v>1</v>
      </c>
      <c r="D357" s="77">
        <v>1</v>
      </c>
      <c r="E357" s="73">
        <f t="shared" si="5"/>
        <v>1</v>
      </c>
      <c r="F357" s="76" t="s">
        <v>2227</v>
      </c>
    </row>
    <row r="358" spans="1:6" x14ac:dyDescent="0.35">
      <c r="A358" s="72" t="s">
        <v>2243</v>
      </c>
      <c r="B358" s="73" t="s">
        <v>2469</v>
      </c>
      <c r="C358" s="74">
        <v>1</v>
      </c>
      <c r="D358" s="77">
        <v>3</v>
      </c>
      <c r="E358" s="73">
        <f t="shared" si="5"/>
        <v>0.33333333333333331</v>
      </c>
      <c r="F358" s="76" t="s">
        <v>2227</v>
      </c>
    </row>
    <row r="359" spans="1:6" x14ac:dyDescent="0.35">
      <c r="A359" s="72" t="s">
        <v>2244</v>
      </c>
      <c r="B359" s="73" t="s">
        <v>2470</v>
      </c>
      <c r="C359" s="74">
        <v>1</v>
      </c>
      <c r="D359" s="77">
        <v>30</v>
      </c>
      <c r="E359" s="73">
        <f t="shared" si="5"/>
        <v>3.3333333333333333E-2</v>
      </c>
      <c r="F359" s="76" t="s">
        <v>2227</v>
      </c>
    </row>
    <row r="360" spans="1:6" x14ac:dyDescent="0.35">
      <c r="A360" s="72" t="s">
        <v>2245</v>
      </c>
      <c r="B360" s="73" t="s">
        <v>2471</v>
      </c>
      <c r="C360" s="74">
        <v>1</v>
      </c>
      <c r="D360" s="77">
        <v>30</v>
      </c>
      <c r="E360" s="73">
        <f t="shared" si="5"/>
        <v>3.3333333333333333E-2</v>
      </c>
      <c r="F360" s="76" t="s">
        <v>2227</v>
      </c>
    </row>
    <row r="361" spans="1:6" x14ac:dyDescent="0.35">
      <c r="A361" s="72" t="s">
        <v>2246</v>
      </c>
      <c r="B361" s="73" t="s">
        <v>2472</v>
      </c>
      <c r="C361" s="74">
        <v>1</v>
      </c>
      <c r="D361" s="77">
        <v>10</v>
      </c>
      <c r="E361" s="73">
        <f t="shared" si="5"/>
        <v>0.1</v>
      </c>
      <c r="F361" s="76" t="s">
        <v>2227</v>
      </c>
    </row>
    <row r="362" spans="1:6" x14ac:dyDescent="0.35">
      <c r="A362" s="72" t="s">
        <v>2247</v>
      </c>
      <c r="B362" s="73" t="s">
        <v>2248</v>
      </c>
      <c r="C362" s="74">
        <v>1</v>
      </c>
      <c r="D362" s="77">
        <v>3</v>
      </c>
      <c r="E362" s="73">
        <f t="shared" si="5"/>
        <v>0.33333333333333331</v>
      </c>
      <c r="F362" s="76" t="s">
        <v>2227</v>
      </c>
    </row>
    <row r="363" spans="1:6" x14ac:dyDescent="0.35">
      <c r="A363" s="72" t="s">
        <v>2249</v>
      </c>
      <c r="B363" s="73" t="s">
        <v>2585</v>
      </c>
      <c r="C363" s="74">
        <v>1</v>
      </c>
      <c r="D363" s="77">
        <v>10</v>
      </c>
      <c r="E363" s="73">
        <f t="shared" si="5"/>
        <v>0.1</v>
      </c>
      <c r="F363" s="76" t="s">
        <v>2227</v>
      </c>
    </row>
    <row r="364" spans="1:6" x14ac:dyDescent="0.35">
      <c r="A364" s="72" t="s">
        <v>2250</v>
      </c>
      <c r="B364" s="73" t="s">
        <v>2586</v>
      </c>
      <c r="C364" s="74">
        <v>1</v>
      </c>
      <c r="D364" s="77">
        <v>10</v>
      </c>
      <c r="E364" s="73">
        <f t="shared" si="5"/>
        <v>0.1</v>
      </c>
      <c r="F364" s="76" t="s">
        <v>2227</v>
      </c>
    </row>
    <row r="365" spans="1:6" x14ac:dyDescent="0.35">
      <c r="A365" s="72" t="s">
        <v>2251</v>
      </c>
      <c r="B365" s="73" t="s">
        <v>2587</v>
      </c>
      <c r="C365" s="74">
        <v>1</v>
      </c>
      <c r="D365" s="77">
        <v>10</v>
      </c>
      <c r="E365" s="73">
        <f t="shared" si="5"/>
        <v>0.1</v>
      </c>
      <c r="F365" s="76" t="s">
        <v>2227</v>
      </c>
    </row>
    <row r="366" spans="1:6" x14ac:dyDescent="0.35">
      <c r="A366" s="72" t="s">
        <v>2252</v>
      </c>
      <c r="B366" s="73" t="s">
        <v>2253</v>
      </c>
      <c r="C366" s="74">
        <v>1</v>
      </c>
      <c r="D366" s="73">
        <v>3</v>
      </c>
      <c r="E366" s="73">
        <f t="shared" si="5"/>
        <v>0.33333333333333331</v>
      </c>
      <c r="F366" s="76" t="s">
        <v>2227</v>
      </c>
    </row>
    <row r="367" spans="1:6" x14ac:dyDescent="0.35">
      <c r="A367" s="72" t="s">
        <v>2254</v>
      </c>
      <c r="B367" s="73" t="s">
        <v>2255</v>
      </c>
      <c r="C367" s="74">
        <v>1</v>
      </c>
      <c r="D367" s="77">
        <v>10</v>
      </c>
      <c r="E367" s="73">
        <f t="shared" si="5"/>
        <v>0.1</v>
      </c>
      <c r="F367" s="76" t="s">
        <v>2227</v>
      </c>
    </row>
    <row r="368" spans="1:6" x14ac:dyDescent="0.35">
      <c r="A368" s="72" t="s">
        <v>2256</v>
      </c>
      <c r="B368" s="73" t="s">
        <v>2257</v>
      </c>
      <c r="C368" s="74">
        <v>1</v>
      </c>
      <c r="D368" s="77">
        <v>10</v>
      </c>
      <c r="E368" s="73">
        <f t="shared" si="5"/>
        <v>0.1</v>
      </c>
      <c r="F368" s="76" t="s">
        <v>2227</v>
      </c>
    </row>
    <row r="369" spans="1:6" x14ac:dyDescent="0.35">
      <c r="A369" s="72" t="s">
        <v>2258</v>
      </c>
      <c r="B369" s="73" t="s">
        <v>2259</v>
      </c>
      <c r="C369" s="74">
        <v>1</v>
      </c>
      <c r="D369" s="77">
        <v>3</v>
      </c>
      <c r="E369" s="73">
        <f t="shared" si="5"/>
        <v>0.33333333333333331</v>
      </c>
      <c r="F369" s="76" t="s">
        <v>2227</v>
      </c>
    </row>
    <row r="370" spans="1:6" x14ac:dyDescent="0.35">
      <c r="A370" s="72" t="s">
        <v>2260</v>
      </c>
      <c r="B370" s="73" t="s">
        <v>2261</v>
      </c>
      <c r="C370" s="74">
        <v>1</v>
      </c>
      <c r="D370" s="77">
        <v>10</v>
      </c>
      <c r="E370" s="73">
        <f t="shared" si="5"/>
        <v>0.1</v>
      </c>
      <c r="F370" s="76" t="s">
        <v>2227</v>
      </c>
    </row>
    <row r="371" spans="1:6" x14ac:dyDescent="0.35">
      <c r="A371" s="72" t="s">
        <v>2262</v>
      </c>
      <c r="B371" s="73" t="s">
        <v>2617</v>
      </c>
      <c r="C371" s="74">
        <v>1</v>
      </c>
      <c r="D371" s="77">
        <v>5</v>
      </c>
      <c r="E371" s="73">
        <f t="shared" si="5"/>
        <v>0.2</v>
      </c>
      <c r="F371" s="76" t="s">
        <v>2227</v>
      </c>
    </row>
    <row r="372" spans="1:6" x14ac:dyDescent="0.35">
      <c r="A372" s="72" t="s">
        <v>2263</v>
      </c>
      <c r="B372" s="73" t="s">
        <v>2535</v>
      </c>
      <c r="C372" s="74">
        <v>1</v>
      </c>
      <c r="D372" s="77">
        <v>10</v>
      </c>
      <c r="E372" s="73">
        <f t="shared" si="5"/>
        <v>0.1</v>
      </c>
      <c r="F372" s="76" t="s">
        <v>2227</v>
      </c>
    </row>
    <row r="373" spans="1:6" x14ac:dyDescent="0.35">
      <c r="A373" s="72" t="s">
        <v>2264</v>
      </c>
      <c r="B373" s="73" t="s">
        <v>2536</v>
      </c>
      <c r="C373" s="74">
        <v>1</v>
      </c>
      <c r="D373" s="77">
        <v>10</v>
      </c>
      <c r="E373" s="73">
        <f t="shared" si="5"/>
        <v>0.1</v>
      </c>
      <c r="F373" s="76" t="s">
        <v>2227</v>
      </c>
    </row>
    <row r="374" spans="1:6" x14ac:dyDescent="0.35">
      <c r="A374" s="72" t="s">
        <v>2265</v>
      </c>
      <c r="B374" s="73" t="s">
        <v>2537</v>
      </c>
      <c r="C374" s="74">
        <v>1</v>
      </c>
      <c r="D374" s="77">
        <v>10</v>
      </c>
      <c r="E374" s="73">
        <f t="shared" si="5"/>
        <v>0.1</v>
      </c>
      <c r="F374" s="76" t="s">
        <v>2227</v>
      </c>
    </row>
    <row r="375" spans="1:6" x14ac:dyDescent="0.35">
      <c r="A375" s="72" t="s">
        <v>2266</v>
      </c>
      <c r="B375" s="73" t="s">
        <v>2538</v>
      </c>
      <c r="C375" s="74">
        <v>1</v>
      </c>
      <c r="D375" s="77">
        <v>10</v>
      </c>
      <c r="E375" s="73">
        <f t="shared" si="5"/>
        <v>0.1</v>
      </c>
      <c r="F375" s="76" t="s">
        <v>2227</v>
      </c>
    </row>
    <row r="376" spans="1:6" x14ac:dyDescent="0.35">
      <c r="A376" s="72" t="s">
        <v>2267</v>
      </c>
      <c r="B376" s="73" t="s">
        <v>2473</v>
      </c>
      <c r="C376" s="74">
        <v>1</v>
      </c>
      <c r="D376" s="77">
        <v>3</v>
      </c>
      <c r="E376" s="73">
        <f t="shared" si="5"/>
        <v>0.33333333333333331</v>
      </c>
      <c r="F376" s="76" t="s">
        <v>2227</v>
      </c>
    </row>
    <row r="377" spans="1:6" x14ac:dyDescent="0.35">
      <c r="A377" s="72" t="s">
        <v>2268</v>
      </c>
      <c r="B377" s="73" t="s">
        <v>2474</v>
      </c>
      <c r="C377" s="74">
        <v>1</v>
      </c>
      <c r="D377" s="77">
        <v>3</v>
      </c>
      <c r="E377" s="73">
        <f t="shared" si="5"/>
        <v>0.33333333333333331</v>
      </c>
      <c r="F377" s="76" t="s">
        <v>2227</v>
      </c>
    </row>
    <row r="378" spans="1:6" x14ac:dyDescent="0.35">
      <c r="A378" s="72" t="s">
        <v>2269</v>
      </c>
      <c r="B378" s="73" t="s">
        <v>2539</v>
      </c>
      <c r="C378" s="74">
        <v>1</v>
      </c>
      <c r="D378" s="77">
        <v>25</v>
      </c>
      <c r="E378" s="73">
        <f t="shared" si="5"/>
        <v>0.04</v>
      </c>
      <c r="F378" s="76" t="s">
        <v>2227</v>
      </c>
    </row>
    <row r="379" spans="1:6" x14ac:dyDescent="0.35">
      <c r="A379" s="72" t="s">
        <v>2270</v>
      </c>
      <c r="B379" s="73" t="s">
        <v>2568</v>
      </c>
      <c r="C379" s="74">
        <v>1</v>
      </c>
      <c r="D379" s="77">
        <v>25</v>
      </c>
      <c r="E379" s="73">
        <f t="shared" si="5"/>
        <v>0.04</v>
      </c>
      <c r="F379" s="76" t="s">
        <v>2227</v>
      </c>
    </row>
    <row r="380" spans="1:6" x14ac:dyDescent="0.35">
      <c r="A380" s="72" t="s">
        <v>2271</v>
      </c>
      <c r="B380" s="73" t="s">
        <v>2540</v>
      </c>
      <c r="C380" s="74">
        <v>1</v>
      </c>
      <c r="D380" s="77">
        <v>25</v>
      </c>
      <c r="E380" s="73">
        <f t="shared" si="5"/>
        <v>0.04</v>
      </c>
      <c r="F380" s="76" t="s">
        <v>2227</v>
      </c>
    </row>
    <row r="381" spans="1:6" x14ac:dyDescent="0.35">
      <c r="A381" s="72" t="s">
        <v>2272</v>
      </c>
      <c r="B381" s="73" t="s">
        <v>2663</v>
      </c>
      <c r="C381" s="74">
        <v>1</v>
      </c>
      <c r="D381" s="77">
        <v>10</v>
      </c>
      <c r="E381" s="73">
        <f t="shared" si="5"/>
        <v>0.1</v>
      </c>
      <c r="F381" s="76" t="s">
        <v>2227</v>
      </c>
    </row>
    <row r="382" spans="1:6" x14ac:dyDescent="0.35">
      <c r="A382" s="72" t="s">
        <v>2273</v>
      </c>
      <c r="B382" s="73" t="s">
        <v>2643</v>
      </c>
      <c r="C382" s="74">
        <v>1</v>
      </c>
      <c r="D382" s="77">
        <v>10</v>
      </c>
      <c r="E382" s="73">
        <f t="shared" si="5"/>
        <v>0.1</v>
      </c>
      <c r="F382" s="76" t="s">
        <v>2227</v>
      </c>
    </row>
    <row r="383" spans="1:6" x14ac:dyDescent="0.35">
      <c r="A383" s="72" t="s">
        <v>2274</v>
      </c>
      <c r="B383" s="73" t="s">
        <v>2569</v>
      </c>
      <c r="C383" s="74">
        <v>1</v>
      </c>
      <c r="D383" s="77">
        <v>10</v>
      </c>
      <c r="E383" s="73">
        <f t="shared" si="5"/>
        <v>0.1</v>
      </c>
      <c r="F383" s="76" t="s">
        <v>2227</v>
      </c>
    </row>
    <row r="384" spans="1:6" x14ac:dyDescent="0.35">
      <c r="A384" s="72" t="s">
        <v>2275</v>
      </c>
      <c r="B384" s="73" t="s">
        <v>2664</v>
      </c>
      <c r="C384" s="74">
        <v>1</v>
      </c>
      <c r="D384" s="77">
        <v>10</v>
      </c>
      <c r="E384" s="73">
        <f t="shared" si="5"/>
        <v>0.1</v>
      </c>
      <c r="F384" s="76" t="s">
        <v>2227</v>
      </c>
    </row>
    <row r="385" spans="1:6" x14ac:dyDescent="0.35">
      <c r="A385" s="72" t="s">
        <v>2276</v>
      </c>
      <c r="B385" s="73" t="s">
        <v>2588</v>
      </c>
      <c r="C385" s="74">
        <v>1</v>
      </c>
      <c r="D385" s="77">
        <v>10</v>
      </c>
      <c r="E385" s="73">
        <f t="shared" si="5"/>
        <v>0.1</v>
      </c>
      <c r="F385" s="76" t="s">
        <v>2227</v>
      </c>
    </row>
    <row r="386" spans="1:6" x14ac:dyDescent="0.35">
      <c r="A386" s="72" t="s">
        <v>2277</v>
      </c>
      <c r="B386" s="73" t="s">
        <v>2589</v>
      </c>
      <c r="C386" s="74">
        <v>1</v>
      </c>
      <c r="D386" s="77">
        <v>10</v>
      </c>
      <c r="E386" s="73">
        <f t="shared" si="5"/>
        <v>0.1</v>
      </c>
      <c r="F386" s="76" t="s">
        <v>2227</v>
      </c>
    </row>
    <row r="387" spans="1:6" x14ac:dyDescent="0.35">
      <c r="A387" s="72" t="s">
        <v>2278</v>
      </c>
      <c r="B387" s="73" t="s">
        <v>2279</v>
      </c>
      <c r="C387" s="74">
        <v>1</v>
      </c>
      <c r="D387" s="77">
        <v>10</v>
      </c>
      <c r="E387" s="73">
        <f t="shared" si="5"/>
        <v>0.1</v>
      </c>
      <c r="F387" s="76" t="s">
        <v>2227</v>
      </c>
    </row>
    <row r="388" spans="1:6" x14ac:dyDescent="0.35">
      <c r="A388" s="72" t="s">
        <v>2280</v>
      </c>
      <c r="B388" s="73" t="s">
        <v>2570</v>
      </c>
      <c r="C388" s="74">
        <v>1</v>
      </c>
      <c r="D388" s="77">
        <v>10</v>
      </c>
      <c r="E388" s="73">
        <f t="shared" si="5"/>
        <v>0.1</v>
      </c>
      <c r="F388" s="76" t="s">
        <v>2227</v>
      </c>
    </row>
    <row r="389" spans="1:6" x14ac:dyDescent="0.35">
      <c r="A389" s="72" t="s">
        <v>2281</v>
      </c>
      <c r="B389" s="73" t="s">
        <v>2282</v>
      </c>
      <c r="C389" s="74">
        <v>1</v>
      </c>
      <c r="D389" s="77">
        <v>20</v>
      </c>
      <c r="E389" s="73">
        <f t="shared" si="5"/>
        <v>0.05</v>
      </c>
      <c r="F389" s="76" t="s">
        <v>2227</v>
      </c>
    </row>
    <row r="390" spans="1:6" x14ac:dyDescent="0.35">
      <c r="A390" s="72" t="s">
        <v>2283</v>
      </c>
      <c r="B390" s="73" t="s">
        <v>2644</v>
      </c>
      <c r="C390" s="74">
        <v>1</v>
      </c>
      <c r="D390" s="77">
        <v>20</v>
      </c>
      <c r="E390" s="73">
        <f t="shared" si="5"/>
        <v>0.05</v>
      </c>
      <c r="F390" s="76" t="s">
        <v>2227</v>
      </c>
    </row>
    <row r="391" spans="1:6" x14ac:dyDescent="0.35">
      <c r="A391" s="72" t="s">
        <v>2284</v>
      </c>
      <c r="B391" s="73" t="s">
        <v>2541</v>
      </c>
      <c r="C391" s="74">
        <v>1</v>
      </c>
      <c r="D391" s="77">
        <v>20</v>
      </c>
      <c r="E391" s="73">
        <f>C391/D391</f>
        <v>0.05</v>
      </c>
      <c r="F391" s="76" t="s">
        <v>2227</v>
      </c>
    </row>
    <row r="392" spans="1:6" x14ac:dyDescent="0.35">
      <c r="A392" s="72" t="s">
        <v>2285</v>
      </c>
      <c r="B392" s="73" t="s">
        <v>2542</v>
      </c>
      <c r="C392" s="74">
        <v>1</v>
      </c>
      <c r="D392" s="77">
        <v>50</v>
      </c>
      <c r="E392" s="73">
        <f>C392/D392</f>
        <v>0.02</v>
      </c>
      <c r="F392" s="76" t="s">
        <v>2227</v>
      </c>
    </row>
    <row r="393" spans="1:6" x14ac:dyDescent="0.35">
      <c r="A393" s="72" t="s">
        <v>2286</v>
      </c>
      <c r="B393" s="73" t="s">
        <v>2543</v>
      </c>
      <c r="C393" s="74">
        <v>1</v>
      </c>
      <c r="D393" s="77">
        <v>10</v>
      </c>
      <c r="E393" s="73">
        <f>C393/D393</f>
        <v>0.1</v>
      </c>
      <c r="F393" s="76" t="s">
        <v>2227</v>
      </c>
    </row>
    <row r="394" spans="1:6" x14ac:dyDescent="0.35">
      <c r="A394" s="72" t="s">
        <v>2287</v>
      </c>
      <c r="B394" s="73" t="s">
        <v>2475</v>
      </c>
      <c r="C394" s="74">
        <v>1</v>
      </c>
      <c r="D394" s="77">
        <v>10</v>
      </c>
      <c r="E394" s="73">
        <f>C394/D394</f>
        <v>0.1</v>
      </c>
      <c r="F394" s="76" t="s">
        <v>2227</v>
      </c>
    </row>
    <row r="395" spans="1:6" x14ac:dyDescent="0.35">
      <c r="A395" s="72" t="s">
        <v>2288</v>
      </c>
      <c r="B395" s="73" t="s">
        <v>2476</v>
      </c>
      <c r="C395" s="74">
        <v>1</v>
      </c>
      <c r="D395" s="77">
        <v>3</v>
      </c>
      <c r="E395" s="73">
        <f>C395/D395</f>
        <v>0.33333333333333331</v>
      </c>
      <c r="F395" s="76" t="s">
        <v>2227</v>
      </c>
    </row>
    <row r="396" spans="1:6" x14ac:dyDescent="0.35">
      <c r="A396" s="72" t="s">
        <v>2289</v>
      </c>
      <c r="B396" s="73" t="s">
        <v>2544</v>
      </c>
      <c r="C396" s="74">
        <v>1</v>
      </c>
      <c r="D396" s="77">
        <v>14</v>
      </c>
      <c r="E396" s="73">
        <f t="shared" si="5"/>
        <v>7.1428571428571425E-2</v>
      </c>
      <c r="F396" s="76" t="s">
        <v>2227</v>
      </c>
    </row>
    <row r="397" spans="1:6" x14ac:dyDescent="0.35">
      <c r="A397" s="72" t="s">
        <v>2290</v>
      </c>
      <c r="B397" s="73" t="s">
        <v>2545</v>
      </c>
      <c r="C397" s="74">
        <v>1</v>
      </c>
      <c r="D397" s="77">
        <v>10</v>
      </c>
      <c r="E397" s="73">
        <f t="shared" si="5"/>
        <v>0.1</v>
      </c>
      <c r="F397" s="76" t="s">
        <v>2227</v>
      </c>
    </row>
    <row r="398" spans="1:6" x14ac:dyDescent="0.35">
      <c r="A398" s="72" t="s">
        <v>2291</v>
      </c>
      <c r="B398" s="73" t="s">
        <v>2546</v>
      </c>
      <c r="C398" s="74">
        <v>1</v>
      </c>
      <c r="D398" s="77">
        <v>10</v>
      </c>
      <c r="E398" s="73">
        <f t="shared" si="5"/>
        <v>0.1</v>
      </c>
      <c r="F398" s="76" t="s">
        <v>2227</v>
      </c>
    </row>
    <row r="399" spans="1:6" x14ac:dyDescent="0.35">
      <c r="A399" s="72" t="s">
        <v>2292</v>
      </c>
      <c r="B399" s="73" t="s">
        <v>2547</v>
      </c>
      <c r="C399" s="74">
        <v>1</v>
      </c>
      <c r="D399" s="77">
        <v>10</v>
      </c>
      <c r="E399" s="73">
        <f t="shared" si="5"/>
        <v>0.1</v>
      </c>
      <c r="F399" s="76" t="s">
        <v>2227</v>
      </c>
    </row>
    <row r="400" spans="1:6" x14ac:dyDescent="0.35">
      <c r="A400" s="72" t="s">
        <v>2293</v>
      </c>
      <c r="B400" s="73" t="s">
        <v>2571</v>
      </c>
      <c r="C400" s="74">
        <v>1</v>
      </c>
      <c r="D400" s="77">
        <v>10</v>
      </c>
      <c r="E400" s="73">
        <f t="shared" si="5"/>
        <v>0.1</v>
      </c>
      <c r="F400" s="76" t="s">
        <v>2227</v>
      </c>
    </row>
    <row r="401" spans="1:6" x14ac:dyDescent="0.35">
      <c r="A401" s="72" t="s">
        <v>2294</v>
      </c>
      <c r="B401" s="73" t="s">
        <v>2572</v>
      </c>
      <c r="C401" s="74">
        <v>1</v>
      </c>
      <c r="D401" s="77">
        <v>10</v>
      </c>
      <c r="E401" s="73">
        <f t="shared" si="5"/>
        <v>0.1</v>
      </c>
      <c r="F401" s="76" t="s">
        <v>2227</v>
      </c>
    </row>
    <row r="402" spans="1:6" x14ac:dyDescent="0.35">
      <c r="A402" s="72" t="s">
        <v>2295</v>
      </c>
      <c r="B402" s="73" t="s">
        <v>2477</v>
      </c>
      <c r="C402" s="74">
        <v>1</v>
      </c>
      <c r="D402" s="77">
        <v>10</v>
      </c>
      <c r="E402" s="73">
        <f t="shared" si="5"/>
        <v>0.1</v>
      </c>
      <c r="F402" s="76" t="s">
        <v>2227</v>
      </c>
    </row>
    <row r="403" spans="1:6" x14ac:dyDescent="0.35">
      <c r="A403" s="72" t="s">
        <v>2296</v>
      </c>
      <c r="B403" s="73" t="s">
        <v>2478</v>
      </c>
      <c r="C403" s="74">
        <v>1</v>
      </c>
      <c r="D403" s="77">
        <v>10</v>
      </c>
      <c r="E403" s="73">
        <f t="shared" si="5"/>
        <v>0.1</v>
      </c>
      <c r="F403" s="76" t="s">
        <v>2227</v>
      </c>
    </row>
    <row r="404" spans="1:6" x14ac:dyDescent="0.35">
      <c r="A404" s="72" t="s">
        <v>2297</v>
      </c>
      <c r="B404" s="73" t="s">
        <v>2479</v>
      </c>
      <c r="C404" s="74">
        <v>1</v>
      </c>
      <c r="D404" s="77">
        <v>10</v>
      </c>
      <c r="E404" s="73">
        <f t="shared" si="5"/>
        <v>0.1</v>
      </c>
      <c r="F404" s="76" t="s">
        <v>2227</v>
      </c>
    </row>
    <row r="405" spans="1:6" x14ac:dyDescent="0.35">
      <c r="A405" s="72" t="s">
        <v>2298</v>
      </c>
      <c r="B405" s="73" t="s">
        <v>2299</v>
      </c>
      <c r="C405" s="74">
        <v>1</v>
      </c>
      <c r="D405" s="77">
        <v>3</v>
      </c>
      <c r="E405" s="73">
        <f t="shared" si="5"/>
        <v>0.33333333333333331</v>
      </c>
      <c r="F405" s="76" t="s">
        <v>2227</v>
      </c>
    </row>
    <row r="406" spans="1:6" x14ac:dyDescent="0.35">
      <c r="A406" s="72" t="s">
        <v>2300</v>
      </c>
      <c r="B406" s="73" t="s">
        <v>2301</v>
      </c>
      <c r="C406" s="74">
        <v>1</v>
      </c>
      <c r="D406" s="77">
        <v>10</v>
      </c>
      <c r="E406" s="73">
        <f t="shared" si="5"/>
        <v>0.1</v>
      </c>
      <c r="F406" s="76" t="s">
        <v>1706</v>
      </c>
    </row>
    <row r="407" spans="1:6" x14ac:dyDescent="0.35">
      <c r="A407" s="78" t="s">
        <v>2302</v>
      </c>
      <c r="B407" s="75" t="s">
        <v>2688</v>
      </c>
      <c r="C407" s="74">
        <v>1</v>
      </c>
      <c r="D407" s="74">
        <v>10</v>
      </c>
      <c r="E407" s="73">
        <f t="shared" si="5"/>
        <v>0.1</v>
      </c>
      <c r="F407" s="79" t="s">
        <v>1706</v>
      </c>
    </row>
    <row r="408" spans="1:6" x14ac:dyDescent="0.35">
      <c r="A408" s="78" t="s">
        <v>2303</v>
      </c>
      <c r="B408" s="75" t="s">
        <v>2304</v>
      </c>
      <c r="C408" s="74">
        <v>1</v>
      </c>
      <c r="D408" s="74">
        <v>3</v>
      </c>
      <c r="E408" s="73">
        <f t="shared" si="5"/>
        <v>0.33333333333333331</v>
      </c>
      <c r="F408" s="79" t="s">
        <v>1706</v>
      </c>
    </row>
    <row r="409" spans="1:6" x14ac:dyDescent="0.35">
      <c r="A409" s="78" t="s">
        <v>2305</v>
      </c>
      <c r="B409" s="75" t="s">
        <v>2689</v>
      </c>
      <c r="C409" s="74">
        <v>1</v>
      </c>
      <c r="D409" s="74">
        <v>2</v>
      </c>
      <c r="E409" s="73">
        <f>C409/D409</f>
        <v>0.5</v>
      </c>
      <c r="F409" s="79" t="s">
        <v>1706</v>
      </c>
    </row>
    <row r="410" spans="1:6" x14ac:dyDescent="0.35">
      <c r="A410" s="78" t="s">
        <v>2306</v>
      </c>
      <c r="B410" s="75" t="s">
        <v>2307</v>
      </c>
      <c r="C410" s="74">
        <v>1</v>
      </c>
      <c r="D410" s="74">
        <v>3</v>
      </c>
      <c r="E410" s="73">
        <f t="shared" si="5"/>
        <v>0.33333333333333331</v>
      </c>
      <c r="F410" s="79" t="s">
        <v>1706</v>
      </c>
    </row>
    <row r="411" spans="1:6" x14ac:dyDescent="0.35">
      <c r="A411" s="78" t="s">
        <v>2308</v>
      </c>
      <c r="B411" s="75" t="s">
        <v>2548</v>
      </c>
      <c r="C411" s="74">
        <v>1</v>
      </c>
      <c r="D411" s="74">
        <v>14</v>
      </c>
      <c r="E411" s="73">
        <f t="shared" si="5"/>
        <v>7.1428571428571425E-2</v>
      </c>
      <c r="F411" s="79" t="s">
        <v>1706</v>
      </c>
    </row>
    <row r="412" spans="1:6" x14ac:dyDescent="0.35">
      <c r="A412" s="78" t="s">
        <v>2309</v>
      </c>
      <c r="B412" s="75" t="s">
        <v>2618</v>
      </c>
      <c r="C412" s="74">
        <v>1</v>
      </c>
      <c r="D412" s="74">
        <v>15</v>
      </c>
      <c r="E412" s="73">
        <f t="shared" si="5"/>
        <v>6.6666666666666666E-2</v>
      </c>
      <c r="F412" s="79" t="s">
        <v>1706</v>
      </c>
    </row>
    <row r="413" spans="1:6" x14ac:dyDescent="0.35">
      <c r="A413" s="78" t="s">
        <v>2310</v>
      </c>
      <c r="B413" s="75" t="s">
        <v>1720</v>
      </c>
      <c r="C413" s="74">
        <v>1</v>
      </c>
      <c r="D413" s="74">
        <v>10</v>
      </c>
      <c r="E413" s="73">
        <f t="shared" ref="E413:E443" si="6">C413/D413</f>
        <v>0.1</v>
      </c>
      <c r="F413" s="79" t="s">
        <v>1706</v>
      </c>
    </row>
    <row r="414" spans="1:6" x14ac:dyDescent="0.35">
      <c r="A414" s="78" t="s">
        <v>2311</v>
      </c>
      <c r="B414" s="75" t="s">
        <v>2312</v>
      </c>
      <c r="C414" s="74">
        <v>1</v>
      </c>
      <c r="D414" s="74">
        <v>5</v>
      </c>
      <c r="E414" s="73">
        <f t="shared" si="6"/>
        <v>0.2</v>
      </c>
      <c r="F414" s="79" t="s">
        <v>1706</v>
      </c>
    </row>
    <row r="415" spans="1:6" x14ac:dyDescent="0.35">
      <c r="A415" s="78" t="s">
        <v>2313</v>
      </c>
      <c r="B415" s="75" t="s">
        <v>2701</v>
      </c>
      <c r="C415" s="74">
        <v>1</v>
      </c>
      <c r="D415" s="74">
        <v>3</v>
      </c>
      <c r="E415" s="73">
        <f t="shared" si="6"/>
        <v>0.33333333333333331</v>
      </c>
      <c r="F415" s="79" t="s">
        <v>1706</v>
      </c>
    </row>
    <row r="416" spans="1:6" x14ac:dyDescent="0.35">
      <c r="A416" s="78" t="s">
        <v>2314</v>
      </c>
      <c r="B416" s="75" t="s">
        <v>2315</v>
      </c>
      <c r="C416" s="74">
        <v>1</v>
      </c>
      <c r="D416" s="74">
        <v>3</v>
      </c>
      <c r="E416" s="73">
        <f t="shared" si="6"/>
        <v>0.33333333333333331</v>
      </c>
      <c r="F416" s="79" t="s">
        <v>1706</v>
      </c>
    </row>
    <row r="417" spans="1:6" x14ac:dyDescent="0.35">
      <c r="A417" s="78" t="s">
        <v>2316</v>
      </c>
      <c r="B417" s="75" t="s">
        <v>2317</v>
      </c>
      <c r="C417" s="74">
        <v>1</v>
      </c>
      <c r="D417" s="75">
        <v>1</v>
      </c>
      <c r="E417" s="73">
        <f t="shared" si="6"/>
        <v>1</v>
      </c>
      <c r="F417" s="79" t="s">
        <v>1706</v>
      </c>
    </row>
    <row r="418" spans="1:6" x14ac:dyDescent="0.35">
      <c r="A418" s="78" t="s">
        <v>2318</v>
      </c>
      <c r="B418" s="75" t="s">
        <v>2549</v>
      </c>
      <c r="C418" s="74">
        <v>1</v>
      </c>
      <c r="D418" s="74">
        <v>35</v>
      </c>
      <c r="E418" s="73">
        <f t="shared" si="6"/>
        <v>2.8571428571428571E-2</v>
      </c>
      <c r="F418" s="79" t="s">
        <v>1706</v>
      </c>
    </row>
    <row r="419" spans="1:6" x14ac:dyDescent="0.35">
      <c r="A419" s="78" t="s">
        <v>2319</v>
      </c>
      <c r="B419" s="75" t="s">
        <v>2320</v>
      </c>
      <c r="C419" s="74">
        <v>1</v>
      </c>
      <c r="D419" s="74">
        <v>1</v>
      </c>
      <c r="E419" s="73">
        <f t="shared" si="6"/>
        <v>1</v>
      </c>
      <c r="F419" s="79" t="s">
        <v>1706</v>
      </c>
    </row>
    <row r="420" spans="1:6" x14ac:dyDescent="0.35">
      <c r="A420" s="78" t="s">
        <v>2321</v>
      </c>
      <c r="B420" s="75" t="s">
        <v>2690</v>
      </c>
      <c r="C420" s="74">
        <v>1</v>
      </c>
      <c r="D420" s="74">
        <v>2</v>
      </c>
      <c r="E420" s="73">
        <f t="shared" si="6"/>
        <v>0.5</v>
      </c>
      <c r="F420" s="79" t="s">
        <v>1706</v>
      </c>
    </row>
    <row r="421" spans="1:6" x14ac:dyDescent="0.35">
      <c r="A421" s="78" t="s">
        <v>2322</v>
      </c>
      <c r="B421" s="75" t="s">
        <v>2702</v>
      </c>
      <c r="C421" s="74">
        <v>1</v>
      </c>
      <c r="D421" s="74">
        <v>5</v>
      </c>
      <c r="E421" s="73">
        <f t="shared" si="6"/>
        <v>0.2</v>
      </c>
      <c r="F421" s="79" t="s">
        <v>1706</v>
      </c>
    </row>
    <row r="422" spans="1:6" x14ac:dyDescent="0.35">
      <c r="A422" s="78" t="s">
        <v>2323</v>
      </c>
      <c r="B422" s="75" t="s">
        <v>2619</v>
      </c>
      <c r="C422" s="74">
        <v>1</v>
      </c>
      <c r="D422" s="74">
        <v>50</v>
      </c>
      <c r="E422" s="73">
        <f t="shared" si="6"/>
        <v>0.02</v>
      </c>
      <c r="F422" s="79" t="s">
        <v>1706</v>
      </c>
    </row>
    <row r="423" spans="1:6" x14ac:dyDescent="0.35">
      <c r="A423" s="78" t="s">
        <v>2324</v>
      </c>
      <c r="B423" s="75" t="s">
        <v>2489</v>
      </c>
      <c r="C423" s="74">
        <v>1</v>
      </c>
      <c r="D423" s="74">
        <v>12</v>
      </c>
      <c r="E423" s="73">
        <f t="shared" si="6"/>
        <v>8.3333333333333329E-2</v>
      </c>
      <c r="F423" s="79" t="s">
        <v>1706</v>
      </c>
    </row>
    <row r="424" spans="1:6" x14ac:dyDescent="0.35">
      <c r="A424" s="78" t="s">
        <v>2325</v>
      </c>
      <c r="B424" s="75" t="s">
        <v>2490</v>
      </c>
      <c r="C424" s="74">
        <v>1</v>
      </c>
      <c r="D424" s="74">
        <v>3</v>
      </c>
      <c r="E424" s="73">
        <f t="shared" si="6"/>
        <v>0.33333333333333331</v>
      </c>
      <c r="F424" s="79" t="s">
        <v>1706</v>
      </c>
    </row>
    <row r="425" spans="1:6" x14ac:dyDescent="0.35">
      <c r="A425" s="78" t="s">
        <v>2326</v>
      </c>
      <c r="B425" s="75" t="s">
        <v>2327</v>
      </c>
      <c r="C425" s="74">
        <v>1</v>
      </c>
      <c r="D425" s="74">
        <v>1</v>
      </c>
      <c r="E425" s="73">
        <f t="shared" si="6"/>
        <v>1</v>
      </c>
      <c r="F425" s="79" t="s">
        <v>1706</v>
      </c>
    </row>
    <row r="426" spans="1:6" x14ac:dyDescent="0.35">
      <c r="A426" s="78" t="s">
        <v>2328</v>
      </c>
      <c r="B426" s="75" t="s">
        <v>2329</v>
      </c>
      <c r="C426" s="74">
        <v>1</v>
      </c>
      <c r="D426" s="74">
        <v>1</v>
      </c>
      <c r="E426" s="73">
        <f>C426/D426</f>
        <v>1</v>
      </c>
      <c r="F426" s="79" t="s">
        <v>1706</v>
      </c>
    </row>
    <row r="427" spans="1:6" x14ac:dyDescent="0.35">
      <c r="A427" s="72" t="s">
        <v>2330</v>
      </c>
      <c r="B427" s="73" t="s">
        <v>2331</v>
      </c>
      <c r="C427" s="77">
        <v>1</v>
      </c>
      <c r="D427" s="77">
        <v>1</v>
      </c>
      <c r="E427" s="73">
        <f>C427/D427</f>
        <v>1</v>
      </c>
      <c r="F427" s="76" t="s">
        <v>1706</v>
      </c>
    </row>
    <row r="428" spans="1:6" x14ac:dyDescent="0.35">
      <c r="A428" s="78" t="s">
        <v>2332</v>
      </c>
      <c r="B428" s="75" t="s">
        <v>2480</v>
      </c>
      <c r="C428" s="74">
        <v>1</v>
      </c>
      <c r="D428" s="74">
        <v>10</v>
      </c>
      <c r="E428" s="73">
        <f t="shared" si="6"/>
        <v>0.1</v>
      </c>
      <c r="F428" s="79" t="s">
        <v>1706</v>
      </c>
    </row>
    <row r="429" spans="1:6" x14ac:dyDescent="0.35">
      <c r="A429" s="78" t="s">
        <v>2333</v>
      </c>
      <c r="B429" s="75" t="s">
        <v>2481</v>
      </c>
      <c r="C429" s="74">
        <v>1</v>
      </c>
      <c r="D429" s="74">
        <v>10</v>
      </c>
      <c r="E429" s="73">
        <f t="shared" si="6"/>
        <v>0.1</v>
      </c>
      <c r="F429" s="79" t="s">
        <v>1706</v>
      </c>
    </row>
    <row r="430" spans="1:6" x14ac:dyDescent="0.35">
      <c r="A430" s="78" t="s">
        <v>2334</v>
      </c>
      <c r="B430" s="75" t="s">
        <v>2482</v>
      </c>
      <c r="C430" s="74">
        <v>1</v>
      </c>
      <c r="D430" s="74">
        <v>10</v>
      </c>
      <c r="E430" s="73">
        <f t="shared" si="6"/>
        <v>0.1</v>
      </c>
      <c r="F430" s="79" t="s">
        <v>1706</v>
      </c>
    </row>
    <row r="431" spans="1:6" x14ac:dyDescent="0.35">
      <c r="A431" s="78" t="s">
        <v>2335</v>
      </c>
      <c r="B431" s="75" t="s">
        <v>2550</v>
      </c>
      <c r="C431" s="74">
        <v>1</v>
      </c>
      <c r="D431" s="74">
        <v>10</v>
      </c>
      <c r="E431" s="73">
        <f t="shared" si="6"/>
        <v>0.1</v>
      </c>
      <c r="F431" s="79" t="s">
        <v>1706</v>
      </c>
    </row>
    <row r="432" spans="1:6" x14ac:dyDescent="0.35">
      <c r="A432" s="78" t="s">
        <v>2336</v>
      </c>
      <c r="B432" s="75" t="s">
        <v>2620</v>
      </c>
      <c r="C432" s="74">
        <v>1</v>
      </c>
      <c r="D432" s="74">
        <v>10</v>
      </c>
      <c r="E432" s="73">
        <f t="shared" si="6"/>
        <v>0.1</v>
      </c>
      <c r="F432" s="79" t="s">
        <v>1706</v>
      </c>
    </row>
    <row r="433" spans="1:6" x14ac:dyDescent="0.35">
      <c r="A433" s="78" t="s">
        <v>2337</v>
      </c>
      <c r="B433" s="75" t="s">
        <v>1743</v>
      </c>
      <c r="C433" s="74">
        <v>1</v>
      </c>
      <c r="D433" s="74">
        <v>10</v>
      </c>
      <c r="E433" s="73">
        <f t="shared" si="6"/>
        <v>0.1</v>
      </c>
      <c r="F433" s="79" t="s">
        <v>1706</v>
      </c>
    </row>
    <row r="434" spans="1:6" x14ac:dyDescent="0.35">
      <c r="A434" s="78" t="s">
        <v>2338</v>
      </c>
      <c r="B434" s="75" t="s">
        <v>2339</v>
      </c>
      <c r="C434" s="74">
        <v>1</v>
      </c>
      <c r="D434" s="74">
        <v>10</v>
      </c>
      <c r="E434" s="73">
        <f t="shared" si="6"/>
        <v>0.1</v>
      </c>
      <c r="F434" s="79" t="s">
        <v>1706</v>
      </c>
    </row>
    <row r="435" spans="1:6" x14ac:dyDescent="0.35">
      <c r="A435" s="78" t="s">
        <v>2340</v>
      </c>
      <c r="B435" s="75" t="s">
        <v>1748</v>
      </c>
      <c r="C435" s="74">
        <v>1</v>
      </c>
      <c r="D435" s="74">
        <v>3</v>
      </c>
      <c r="E435" s="73">
        <f t="shared" si="6"/>
        <v>0.33333333333333331</v>
      </c>
      <c r="F435" s="79" t="s">
        <v>1706</v>
      </c>
    </row>
    <row r="436" spans="1:6" x14ac:dyDescent="0.35">
      <c r="A436" s="78" t="s">
        <v>2341</v>
      </c>
      <c r="B436" s="75" t="s">
        <v>2483</v>
      </c>
      <c r="C436" s="74">
        <v>1</v>
      </c>
      <c r="D436" s="74">
        <v>4</v>
      </c>
      <c r="E436" s="73">
        <f t="shared" si="6"/>
        <v>0.25</v>
      </c>
      <c r="F436" s="79" t="s">
        <v>1706</v>
      </c>
    </row>
    <row r="437" spans="1:6" x14ac:dyDescent="0.35">
      <c r="A437" s="78" t="s">
        <v>2342</v>
      </c>
      <c r="B437" s="75" t="s">
        <v>2691</v>
      </c>
      <c r="C437" s="74">
        <v>1</v>
      </c>
      <c r="D437" s="74">
        <v>1</v>
      </c>
      <c r="E437" s="73">
        <f t="shared" si="6"/>
        <v>1</v>
      </c>
      <c r="F437" s="79" t="s">
        <v>1706</v>
      </c>
    </row>
    <row r="438" spans="1:6" x14ac:dyDescent="0.35">
      <c r="A438" s="78" t="s">
        <v>2343</v>
      </c>
      <c r="B438" s="75" t="s">
        <v>2621</v>
      </c>
      <c r="C438" s="74">
        <v>1</v>
      </c>
      <c r="D438" s="74">
        <v>3</v>
      </c>
      <c r="E438" s="73">
        <f t="shared" si="6"/>
        <v>0.33333333333333331</v>
      </c>
      <c r="F438" s="79" t="s">
        <v>1706</v>
      </c>
    </row>
    <row r="439" spans="1:6" x14ac:dyDescent="0.35">
      <c r="A439" s="78" t="s">
        <v>2344</v>
      </c>
      <c r="B439" s="75" t="s">
        <v>2692</v>
      </c>
      <c r="C439" s="74">
        <v>1</v>
      </c>
      <c r="D439" s="74">
        <v>10</v>
      </c>
      <c r="E439" s="73">
        <f t="shared" si="6"/>
        <v>0.1</v>
      </c>
      <c r="F439" s="79" t="s">
        <v>1706</v>
      </c>
    </row>
    <row r="440" spans="1:6" x14ac:dyDescent="0.35">
      <c r="A440" s="78" t="s">
        <v>2345</v>
      </c>
      <c r="B440" s="75" t="s">
        <v>2551</v>
      </c>
      <c r="C440" s="74">
        <v>1</v>
      </c>
      <c r="D440" s="74">
        <v>10</v>
      </c>
      <c r="E440" s="73">
        <f t="shared" si="6"/>
        <v>0.1</v>
      </c>
      <c r="F440" s="79" t="s">
        <v>1706</v>
      </c>
    </row>
    <row r="441" spans="1:6" x14ac:dyDescent="0.35">
      <c r="A441" s="78" t="s">
        <v>2346</v>
      </c>
      <c r="B441" s="75" t="s">
        <v>2347</v>
      </c>
      <c r="C441" s="74">
        <v>1</v>
      </c>
      <c r="D441" s="74">
        <v>10</v>
      </c>
      <c r="E441" s="73">
        <f t="shared" si="6"/>
        <v>0.1</v>
      </c>
      <c r="F441" s="79" t="s">
        <v>1706</v>
      </c>
    </row>
    <row r="442" spans="1:6" x14ac:dyDescent="0.35">
      <c r="A442" s="78" t="s">
        <v>2348</v>
      </c>
      <c r="B442" s="75" t="s">
        <v>1742</v>
      </c>
      <c r="C442" s="74">
        <v>1</v>
      </c>
      <c r="D442" s="74">
        <v>1</v>
      </c>
      <c r="E442" s="73">
        <f t="shared" si="6"/>
        <v>1</v>
      </c>
      <c r="F442" s="79" t="s">
        <v>1706</v>
      </c>
    </row>
    <row r="443" spans="1:6" x14ac:dyDescent="0.35">
      <c r="A443" s="82" t="s">
        <v>2349</v>
      </c>
      <c r="B443" s="83" t="s">
        <v>2552</v>
      </c>
      <c r="C443" s="74">
        <v>1</v>
      </c>
      <c r="D443" s="84">
        <v>30</v>
      </c>
      <c r="E443" s="73">
        <f t="shared" si="6"/>
        <v>3.3333333333333333E-2</v>
      </c>
      <c r="F443" s="85" t="s">
        <v>1706</v>
      </c>
    </row>
    <row r="444" spans="1:6" x14ac:dyDescent="0.35">
      <c r="A444" s="80" t="s">
        <v>2350</v>
      </c>
      <c r="B444" s="80" t="s">
        <v>2351</v>
      </c>
      <c r="D444" s="71">
        <v>1</v>
      </c>
      <c r="F444" s="71" t="s">
        <v>1682</v>
      </c>
    </row>
    <row r="445" spans="1:6" x14ac:dyDescent="0.35">
      <c r="A445" s="80" t="s">
        <v>2352</v>
      </c>
      <c r="B445" s="80" t="s">
        <v>2484</v>
      </c>
      <c r="D445" s="71">
        <v>1</v>
      </c>
      <c r="F445" s="71" t="s">
        <v>1682</v>
      </c>
    </row>
    <row r="446" spans="1:6" x14ac:dyDescent="0.35">
      <c r="A446" s="80" t="s">
        <v>2353</v>
      </c>
      <c r="B446" s="80" t="s">
        <v>2704</v>
      </c>
      <c r="D446" s="71">
        <v>1</v>
      </c>
      <c r="F446" s="71" t="s">
        <v>1682</v>
      </c>
    </row>
    <row r="447" spans="1:6" x14ac:dyDescent="0.35">
      <c r="A447" s="80" t="s">
        <v>2354</v>
      </c>
      <c r="B447" s="80" t="s">
        <v>2355</v>
      </c>
      <c r="D447" s="71">
        <v>1</v>
      </c>
      <c r="F447" s="71" t="s">
        <v>1682</v>
      </c>
    </row>
    <row r="448" spans="1:6" x14ac:dyDescent="0.35">
      <c r="A448" s="80" t="s">
        <v>2356</v>
      </c>
      <c r="B448" s="80" t="s">
        <v>2357</v>
      </c>
      <c r="D448" s="71">
        <v>1</v>
      </c>
      <c r="F448" s="71" t="s">
        <v>1682</v>
      </c>
    </row>
    <row r="449" spans="1:6" x14ac:dyDescent="0.35">
      <c r="A449" s="80" t="s">
        <v>2358</v>
      </c>
      <c r="B449" s="80" t="s">
        <v>2721</v>
      </c>
      <c r="D449" s="71">
        <v>1</v>
      </c>
      <c r="F449" s="71" t="s">
        <v>1682</v>
      </c>
    </row>
    <row r="450" spans="1:6" x14ac:dyDescent="0.35">
      <c r="A450" s="80" t="s">
        <v>2359</v>
      </c>
      <c r="B450" s="80" t="s">
        <v>2722</v>
      </c>
      <c r="D450" s="71">
        <v>1</v>
      </c>
      <c r="F450" s="71" t="s">
        <v>1682</v>
      </c>
    </row>
    <row r="451" spans="1:6" x14ac:dyDescent="0.35">
      <c r="A451" s="80" t="s">
        <v>2360</v>
      </c>
      <c r="B451" s="80" t="s">
        <v>2361</v>
      </c>
      <c r="D451" s="71">
        <v>1</v>
      </c>
      <c r="F451" s="71" t="s">
        <v>1682</v>
      </c>
    </row>
    <row r="452" spans="1:6" x14ac:dyDescent="0.35">
      <c r="A452" s="80" t="s">
        <v>2362</v>
      </c>
      <c r="B452" s="80" t="s">
        <v>2363</v>
      </c>
      <c r="D452" s="71">
        <v>1</v>
      </c>
      <c r="F452" s="71" t="s">
        <v>1682</v>
      </c>
    </row>
    <row r="453" spans="1:6" x14ac:dyDescent="0.35">
      <c r="A453" s="80" t="s">
        <v>2364</v>
      </c>
      <c r="B453" s="80" t="s">
        <v>2365</v>
      </c>
      <c r="D453" s="71">
        <v>1</v>
      </c>
      <c r="F453" s="71" t="s">
        <v>1682</v>
      </c>
    </row>
    <row r="454" spans="1:6" x14ac:dyDescent="0.35">
      <c r="A454" s="80" t="s">
        <v>2366</v>
      </c>
      <c r="B454" s="80" t="s">
        <v>2367</v>
      </c>
      <c r="D454" s="71">
        <v>1</v>
      </c>
      <c r="F454" s="71" t="s">
        <v>1682</v>
      </c>
    </row>
    <row r="455" spans="1:6" x14ac:dyDescent="0.35">
      <c r="A455" s="80" t="s">
        <v>2368</v>
      </c>
      <c r="B455" s="80" t="s">
        <v>2369</v>
      </c>
      <c r="D455" s="71">
        <v>1</v>
      </c>
      <c r="F455" s="71" t="s">
        <v>1682</v>
      </c>
    </row>
    <row r="456" spans="1:6" x14ac:dyDescent="0.35">
      <c r="A456" s="80" t="s">
        <v>2370</v>
      </c>
      <c r="B456" s="80" t="s">
        <v>2371</v>
      </c>
      <c r="D456" s="71">
        <v>1</v>
      </c>
      <c r="F456" s="71" t="s">
        <v>1682</v>
      </c>
    </row>
    <row r="457" spans="1:6" x14ac:dyDescent="0.35">
      <c r="A457" s="80" t="s">
        <v>2372</v>
      </c>
      <c r="B457" s="80" t="s">
        <v>2373</v>
      </c>
      <c r="D457" s="71">
        <v>1</v>
      </c>
      <c r="F457" s="71" t="s">
        <v>1682</v>
      </c>
    </row>
    <row r="458" spans="1:6" x14ac:dyDescent="0.35">
      <c r="A458" s="80" t="s">
        <v>2374</v>
      </c>
      <c r="B458" s="80" t="s">
        <v>2375</v>
      </c>
      <c r="D458" s="71">
        <v>1</v>
      </c>
      <c r="F458" s="71" t="s">
        <v>1682</v>
      </c>
    </row>
    <row r="459" spans="1:6" x14ac:dyDescent="0.35">
      <c r="A459" s="80" t="s">
        <v>2376</v>
      </c>
      <c r="B459" s="80" t="s">
        <v>2645</v>
      </c>
      <c r="D459" s="71">
        <v>1</v>
      </c>
      <c r="F459" s="71" t="s">
        <v>1682</v>
      </c>
    </row>
    <row r="460" spans="1:6" x14ac:dyDescent="0.35">
      <c r="A460" s="80" t="s">
        <v>2377</v>
      </c>
      <c r="B460" s="80" t="s">
        <v>2378</v>
      </c>
      <c r="D460" s="71">
        <v>1</v>
      </c>
      <c r="F460" s="71" t="s">
        <v>1682</v>
      </c>
    </row>
    <row r="461" spans="1:6" x14ac:dyDescent="0.35">
      <c r="A461" s="80" t="s">
        <v>2379</v>
      </c>
      <c r="B461" s="80" t="s">
        <v>2380</v>
      </c>
      <c r="D461" s="71">
        <v>1</v>
      </c>
      <c r="F461" s="71" t="s">
        <v>1682</v>
      </c>
    </row>
    <row r="462" spans="1:6" x14ac:dyDescent="0.35">
      <c r="A462" s="80" t="s">
        <v>2381</v>
      </c>
      <c r="B462" s="80" t="s">
        <v>2382</v>
      </c>
      <c r="D462" s="71">
        <v>1</v>
      </c>
      <c r="F462" s="71" t="s">
        <v>1682</v>
      </c>
    </row>
    <row r="463" spans="1:6" x14ac:dyDescent="0.35">
      <c r="A463" s="80" t="s">
        <v>2383</v>
      </c>
      <c r="B463" s="80" t="s">
        <v>2384</v>
      </c>
      <c r="D463" s="71">
        <v>1</v>
      </c>
      <c r="F463" s="71" t="s">
        <v>1682</v>
      </c>
    </row>
    <row r="464" spans="1:6" x14ac:dyDescent="0.35">
      <c r="A464" s="80" t="s">
        <v>2385</v>
      </c>
      <c r="B464" s="80" t="s">
        <v>2386</v>
      </c>
      <c r="D464" s="71">
        <v>1</v>
      </c>
      <c r="F464" s="71" t="s">
        <v>1682</v>
      </c>
    </row>
    <row r="465" spans="1:6" x14ac:dyDescent="0.35">
      <c r="A465" s="80" t="s">
        <v>2387</v>
      </c>
      <c r="B465" s="80" t="s">
        <v>2388</v>
      </c>
      <c r="D465" s="71">
        <v>1</v>
      </c>
      <c r="F465" s="71" t="s">
        <v>1682</v>
      </c>
    </row>
    <row r="466" spans="1:6" x14ac:dyDescent="0.35">
      <c r="A466" s="80" t="s">
        <v>2389</v>
      </c>
      <c r="B466" s="80" t="s">
        <v>2590</v>
      </c>
      <c r="D466" s="71">
        <v>1</v>
      </c>
      <c r="F466" s="71" t="s">
        <v>1682</v>
      </c>
    </row>
    <row r="467" spans="1:6" x14ac:dyDescent="0.35">
      <c r="A467" s="80" t="s">
        <v>2390</v>
      </c>
      <c r="B467" s="80" t="s">
        <v>2391</v>
      </c>
      <c r="D467" s="71">
        <v>1</v>
      </c>
      <c r="F467" s="71" t="s">
        <v>1682</v>
      </c>
    </row>
    <row r="468" spans="1:6" x14ac:dyDescent="0.35">
      <c r="A468" s="80" t="s">
        <v>2392</v>
      </c>
      <c r="B468" s="80" t="s">
        <v>2393</v>
      </c>
      <c r="D468" s="71">
        <v>1</v>
      </c>
      <c r="F468" s="71" t="s">
        <v>1682</v>
      </c>
    </row>
    <row r="469" spans="1:6" x14ac:dyDescent="0.35">
      <c r="A469" s="80" t="s">
        <v>2394</v>
      </c>
      <c r="B469" s="80" t="s">
        <v>2395</v>
      </c>
      <c r="D469" s="71">
        <v>1</v>
      </c>
      <c r="F469" s="71" t="s">
        <v>1682</v>
      </c>
    </row>
    <row r="470" spans="1:6" x14ac:dyDescent="0.35">
      <c r="A470" s="80" t="s">
        <v>2396</v>
      </c>
      <c r="B470" s="80" t="s">
        <v>2397</v>
      </c>
      <c r="D470" s="71">
        <v>1</v>
      </c>
      <c r="F470" s="71" t="s">
        <v>1682</v>
      </c>
    </row>
    <row r="471" spans="1:6" x14ac:dyDescent="0.35">
      <c r="A471" s="80" t="s">
        <v>2398</v>
      </c>
      <c r="B471" s="80" t="s">
        <v>2723</v>
      </c>
      <c r="D471" s="71">
        <v>1</v>
      </c>
      <c r="F471" s="71" t="s">
        <v>1682</v>
      </c>
    </row>
    <row r="472" spans="1:6" x14ac:dyDescent="0.35">
      <c r="A472" s="80" t="s">
        <v>2399</v>
      </c>
      <c r="B472" s="80" t="s">
        <v>2591</v>
      </c>
      <c r="D472" s="71">
        <v>1</v>
      </c>
      <c r="F472" s="71" t="s">
        <v>1682</v>
      </c>
    </row>
    <row r="473" spans="1:6" x14ac:dyDescent="0.35">
      <c r="A473" s="80" t="s">
        <v>2400</v>
      </c>
      <c r="B473" s="80" t="s">
        <v>2592</v>
      </c>
      <c r="D473" s="71">
        <v>1</v>
      </c>
      <c r="F473" s="71" t="s">
        <v>1682</v>
      </c>
    </row>
    <row r="474" spans="1:6" x14ac:dyDescent="0.35">
      <c r="A474" s="80" t="s">
        <v>2401</v>
      </c>
      <c r="B474" s="80" t="s">
        <v>2402</v>
      </c>
      <c r="D474" s="71">
        <v>1</v>
      </c>
      <c r="F474" s="71" t="s">
        <v>1682</v>
      </c>
    </row>
    <row r="475" spans="1:6" x14ac:dyDescent="0.35">
      <c r="A475" s="80" t="s">
        <v>2403</v>
      </c>
      <c r="B475" s="80" t="s">
        <v>2404</v>
      </c>
      <c r="D475" s="71">
        <v>1</v>
      </c>
      <c r="F475" s="71" t="s">
        <v>1682</v>
      </c>
    </row>
    <row r="476" spans="1:6" x14ac:dyDescent="0.35">
      <c r="A476" s="80" t="s">
        <v>2405</v>
      </c>
      <c r="B476" s="80" t="s">
        <v>2406</v>
      </c>
      <c r="D476" s="71">
        <v>1</v>
      </c>
      <c r="F476" s="71" t="s">
        <v>1682</v>
      </c>
    </row>
    <row r="477" spans="1:6" x14ac:dyDescent="0.35">
      <c r="A477" s="80" t="s">
        <v>2407</v>
      </c>
      <c r="B477" s="80" t="s">
        <v>2724</v>
      </c>
      <c r="D477" s="71">
        <v>1</v>
      </c>
      <c r="F477" s="71" t="s">
        <v>1682</v>
      </c>
    </row>
    <row r="478" spans="1:6" x14ac:dyDescent="0.35">
      <c r="A478" s="80" t="s">
        <v>2408</v>
      </c>
      <c r="B478" s="80" t="s">
        <v>2485</v>
      </c>
      <c r="D478" s="71">
        <v>1</v>
      </c>
      <c r="F478" s="71" t="s">
        <v>1682</v>
      </c>
    </row>
    <row r="479" spans="1:6" x14ac:dyDescent="0.35">
      <c r="A479" s="80" t="s">
        <v>2409</v>
      </c>
      <c r="B479" s="80" t="s">
        <v>2593</v>
      </c>
      <c r="D479" s="71">
        <v>1</v>
      </c>
      <c r="F479" s="71" t="s">
        <v>1682</v>
      </c>
    </row>
    <row r="480" spans="1:6" x14ac:dyDescent="0.35">
      <c r="A480" s="80" t="s">
        <v>2410</v>
      </c>
      <c r="B480" s="80" t="s">
        <v>2411</v>
      </c>
      <c r="D480" s="71">
        <v>1</v>
      </c>
      <c r="F480" s="71" t="s">
        <v>1682</v>
      </c>
    </row>
    <row r="481" spans="1:6" x14ac:dyDescent="0.35">
      <c r="A481" s="80" t="s">
        <v>2412</v>
      </c>
      <c r="B481" s="80" t="s">
        <v>2413</v>
      </c>
      <c r="D481" s="71">
        <v>1</v>
      </c>
      <c r="F481" s="71" t="s">
        <v>1682</v>
      </c>
    </row>
    <row r="482" spans="1:6" x14ac:dyDescent="0.35">
      <c r="A482" s="80" t="s">
        <v>2414</v>
      </c>
      <c r="B482" s="80" t="s">
        <v>2725</v>
      </c>
      <c r="D482" s="71">
        <v>1</v>
      </c>
      <c r="F482" s="71" t="s">
        <v>1682</v>
      </c>
    </row>
    <row r="483" spans="1:6" x14ac:dyDescent="0.35">
      <c r="A483" s="80" t="s">
        <v>2415</v>
      </c>
      <c r="B483" s="80" t="s">
        <v>2416</v>
      </c>
      <c r="D483" s="71">
        <v>1</v>
      </c>
      <c r="F483" s="71" t="s">
        <v>1682</v>
      </c>
    </row>
    <row r="484" spans="1:6" x14ac:dyDescent="0.35">
      <c r="A484" s="80" t="s">
        <v>2417</v>
      </c>
      <c r="B484" s="80" t="s">
        <v>2705</v>
      </c>
      <c r="D484" s="71">
        <v>1</v>
      </c>
      <c r="F484" s="71" t="s">
        <v>1682</v>
      </c>
    </row>
  </sheetData>
  <mergeCells count="6">
    <mergeCell ref="E1:E2"/>
    <mergeCell ref="F1:F2"/>
    <mergeCell ref="A1:A2"/>
    <mergeCell ref="B1:B2"/>
    <mergeCell ref="C1:C2"/>
    <mergeCell ref="D1:D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3"/>
  <sheetViews>
    <sheetView topLeftCell="A46" zoomScale="70" zoomScaleNormal="70" workbookViewId="0">
      <selection activeCell="K117" sqref="K117"/>
    </sheetView>
  </sheetViews>
  <sheetFormatPr defaultColWidth="9.109375" defaultRowHeight="19.8" x14ac:dyDescent="0.4"/>
  <cols>
    <col min="1" max="1" width="37.77734375" style="25" customWidth="1"/>
    <col min="2" max="2" width="9.88671875" style="26" bestFit="1" customWidth="1"/>
    <col min="3" max="3" width="8.44140625" style="26" bestFit="1" customWidth="1"/>
    <col min="4" max="4" width="9.33203125" style="26" bestFit="1" customWidth="1"/>
    <col min="5" max="5" width="8.44140625" style="19" bestFit="1" customWidth="1"/>
    <col min="6" max="6" width="40.5546875" style="19" bestFit="1" customWidth="1"/>
    <col min="7" max="8" width="8.44140625" style="19" bestFit="1" customWidth="1"/>
    <col min="9" max="9" width="9.33203125" style="19" bestFit="1" customWidth="1"/>
    <col min="10" max="11" width="9.109375" style="19"/>
    <col min="12" max="12" width="9.88671875" style="19" bestFit="1" customWidth="1"/>
    <col min="13" max="13" width="9.109375" style="19"/>
    <col min="14" max="14" width="12.77734375" style="19" bestFit="1" customWidth="1"/>
    <col min="15" max="16384" width="9.109375" style="19"/>
  </cols>
  <sheetData>
    <row r="1" spans="1:9" s="5" customFormat="1" ht="23.4" x14ac:dyDescent="0.4">
      <c r="A1" s="92" t="s">
        <v>1664</v>
      </c>
      <c r="B1" s="93"/>
      <c r="C1" s="93"/>
      <c r="D1" s="93"/>
      <c r="E1" s="93"/>
      <c r="F1" s="93"/>
      <c r="G1" s="93"/>
      <c r="H1" s="93"/>
      <c r="I1" s="93"/>
    </row>
    <row r="2" spans="1:9" s="9" customFormat="1" ht="42" x14ac:dyDescent="0.3">
      <c r="A2" s="6" t="s">
        <v>1665</v>
      </c>
      <c r="B2" s="7" t="s">
        <v>1666</v>
      </c>
      <c r="C2" s="7" t="s">
        <v>1667</v>
      </c>
      <c r="D2" s="7" t="s">
        <v>1668</v>
      </c>
      <c r="E2" s="8"/>
      <c r="F2" s="6" t="s">
        <v>1665</v>
      </c>
      <c r="G2" s="7" t="s">
        <v>1666</v>
      </c>
      <c r="H2" s="7" t="s">
        <v>1667</v>
      </c>
      <c r="I2" s="7" t="s">
        <v>1668</v>
      </c>
    </row>
    <row r="3" spans="1:9" s="9" customFormat="1" ht="28.8" x14ac:dyDescent="0.3">
      <c r="A3" s="10" t="s">
        <v>1765</v>
      </c>
      <c r="B3" s="6"/>
      <c r="C3" s="6"/>
      <c r="D3" s="6"/>
      <c r="E3" s="6"/>
      <c r="F3" s="21" t="s">
        <v>1766</v>
      </c>
      <c r="G3" s="6"/>
      <c r="H3" s="11"/>
      <c r="I3" s="12"/>
    </row>
    <row r="4" spans="1:9" ht="28.8" x14ac:dyDescent="0.45">
      <c r="A4" s="13" t="s">
        <v>1669</v>
      </c>
      <c r="B4" s="14">
        <v>100</v>
      </c>
      <c r="C4" s="14">
        <v>20</v>
      </c>
      <c r="D4" s="15">
        <v>0.2</v>
      </c>
      <c r="E4" s="16"/>
      <c r="F4" s="94" t="s">
        <v>1670</v>
      </c>
      <c r="G4" s="17">
        <v>100</v>
      </c>
      <c r="H4" s="17">
        <v>20</v>
      </c>
      <c r="I4" s="18">
        <v>0.2</v>
      </c>
    </row>
    <row r="5" spans="1:9" ht="28.8" x14ac:dyDescent="0.45">
      <c r="A5" s="10" t="s">
        <v>1671</v>
      </c>
      <c r="B5" s="14"/>
      <c r="C5" s="14"/>
      <c r="D5" s="14"/>
      <c r="E5" s="16"/>
      <c r="F5" s="94"/>
      <c r="G5" s="17">
        <v>200</v>
      </c>
      <c r="H5" s="17">
        <v>40</v>
      </c>
      <c r="I5" s="18">
        <v>0.2</v>
      </c>
    </row>
    <row r="6" spans="1:9" ht="33.6" x14ac:dyDescent="0.45">
      <c r="A6" s="20" t="s">
        <v>1672</v>
      </c>
      <c r="B6" s="14">
        <v>100</v>
      </c>
      <c r="C6" s="14">
        <v>20</v>
      </c>
      <c r="D6" s="15">
        <v>0.2</v>
      </c>
      <c r="E6" s="16"/>
      <c r="F6" s="94" t="s">
        <v>1673</v>
      </c>
      <c r="G6" s="17">
        <v>100</v>
      </c>
      <c r="H6" s="17">
        <v>20</v>
      </c>
      <c r="I6" s="18">
        <v>0.2</v>
      </c>
    </row>
    <row r="7" spans="1:9" ht="33.6" x14ac:dyDescent="0.45">
      <c r="A7" s="20" t="s">
        <v>1674</v>
      </c>
      <c r="B7" s="14">
        <v>100</v>
      </c>
      <c r="C7" s="14">
        <v>20</v>
      </c>
      <c r="D7" s="15">
        <v>0.2</v>
      </c>
      <c r="E7" s="16"/>
      <c r="F7" s="94"/>
      <c r="G7" s="17">
        <v>200</v>
      </c>
      <c r="H7" s="17">
        <v>40</v>
      </c>
      <c r="I7" s="18">
        <v>0.2</v>
      </c>
    </row>
    <row r="8" spans="1:9" ht="27" x14ac:dyDescent="0.45">
      <c r="A8" s="21"/>
      <c r="B8" s="14"/>
      <c r="C8" s="14"/>
      <c r="D8" s="14"/>
      <c r="E8" s="16"/>
      <c r="F8" s="94" t="s">
        <v>1675</v>
      </c>
      <c r="G8" s="17">
        <v>100</v>
      </c>
      <c r="H8" s="17">
        <v>20</v>
      </c>
      <c r="I8" s="18">
        <v>0.2</v>
      </c>
    </row>
    <row r="9" spans="1:9" ht="25.2" x14ac:dyDescent="0.45">
      <c r="A9" s="95"/>
      <c r="B9" s="14"/>
      <c r="C9" s="14"/>
      <c r="D9" s="15"/>
      <c r="E9" s="16"/>
      <c r="F9" s="94"/>
      <c r="G9" s="17">
        <v>200</v>
      </c>
      <c r="H9" s="17">
        <v>40</v>
      </c>
      <c r="I9" s="18">
        <v>0.2</v>
      </c>
    </row>
    <row r="10" spans="1:9" ht="25.2" x14ac:dyDescent="0.45">
      <c r="A10" s="95"/>
      <c r="B10" s="14"/>
      <c r="C10" s="14"/>
      <c r="D10" s="15"/>
      <c r="E10" s="16"/>
      <c r="F10" s="94" t="s">
        <v>1676</v>
      </c>
      <c r="G10" s="17">
        <v>100</v>
      </c>
      <c r="H10" s="17">
        <v>20</v>
      </c>
      <c r="I10" s="18">
        <v>0.2</v>
      </c>
    </row>
    <row r="11" spans="1:9" ht="25.2" x14ac:dyDescent="0.45">
      <c r="A11" s="95"/>
      <c r="B11" s="14"/>
      <c r="C11" s="14"/>
      <c r="D11" s="15"/>
      <c r="E11" s="16"/>
      <c r="F11" s="94"/>
      <c r="G11" s="17">
        <v>200</v>
      </c>
      <c r="H11" s="17">
        <v>40</v>
      </c>
      <c r="I11" s="18">
        <v>0.2</v>
      </c>
    </row>
    <row r="12" spans="1:9" ht="27" x14ac:dyDescent="0.45">
      <c r="A12" s="95"/>
      <c r="B12" s="14"/>
      <c r="C12" s="14"/>
      <c r="D12" s="15"/>
      <c r="E12" s="16"/>
      <c r="F12" s="22" t="s">
        <v>1677</v>
      </c>
      <c r="G12" s="14">
        <v>100</v>
      </c>
      <c r="H12" s="14">
        <v>10</v>
      </c>
      <c r="I12" s="15">
        <v>0.1</v>
      </c>
    </row>
    <row r="13" spans="1:9" ht="25.2" x14ac:dyDescent="0.45">
      <c r="A13" s="95"/>
      <c r="B13" s="14"/>
      <c r="C13" s="14"/>
      <c r="D13" s="15"/>
      <c r="E13" s="16"/>
      <c r="F13" s="96" t="s">
        <v>1678</v>
      </c>
      <c r="G13" s="14">
        <v>50</v>
      </c>
      <c r="H13" s="14">
        <v>10</v>
      </c>
      <c r="I13" s="15">
        <v>0.2</v>
      </c>
    </row>
    <row r="14" spans="1:9" ht="25.2" x14ac:dyDescent="0.45">
      <c r="A14" s="95"/>
      <c r="B14" s="14"/>
      <c r="C14" s="14"/>
      <c r="D14" s="15"/>
      <c r="E14" s="16"/>
      <c r="F14" s="96"/>
      <c r="G14" s="14">
        <v>100</v>
      </c>
      <c r="H14" s="14">
        <v>20</v>
      </c>
      <c r="I14" s="15">
        <v>0.2</v>
      </c>
    </row>
    <row r="15" spans="1:9" ht="25.2" x14ac:dyDescent="0.45">
      <c r="A15" s="95"/>
      <c r="B15" s="14"/>
      <c r="C15" s="14"/>
      <c r="D15" s="15"/>
      <c r="E15" s="16"/>
      <c r="F15" s="96" t="s">
        <v>1679</v>
      </c>
      <c r="G15" s="14">
        <v>50</v>
      </c>
      <c r="H15" s="14">
        <v>10</v>
      </c>
      <c r="I15" s="15">
        <v>0.2</v>
      </c>
    </row>
    <row r="16" spans="1:9" ht="25.2" x14ac:dyDescent="0.45">
      <c r="A16" s="95"/>
      <c r="B16" s="14"/>
      <c r="C16" s="14"/>
      <c r="D16" s="15"/>
      <c r="E16" s="16"/>
      <c r="F16" s="96"/>
      <c r="G16" s="14">
        <v>100</v>
      </c>
      <c r="H16" s="14">
        <v>20</v>
      </c>
      <c r="I16" s="15">
        <v>0.2</v>
      </c>
    </row>
    <row r="17" spans="1:9" ht="27" x14ac:dyDescent="0.45">
      <c r="A17" s="21" t="s">
        <v>1764</v>
      </c>
      <c r="B17" s="14"/>
      <c r="C17" s="14"/>
      <c r="D17" s="15"/>
      <c r="E17" s="16"/>
      <c r="F17" s="97"/>
      <c r="G17" s="14"/>
      <c r="H17" s="14"/>
      <c r="I17" s="15"/>
    </row>
    <row r="18" spans="1:9" ht="27" x14ac:dyDescent="0.45">
      <c r="A18" s="22" t="s">
        <v>1680</v>
      </c>
      <c r="B18" s="14">
        <v>100</v>
      </c>
      <c r="C18" s="14">
        <v>10</v>
      </c>
      <c r="D18" s="15">
        <v>0.1</v>
      </c>
      <c r="E18" s="16"/>
      <c r="F18" s="97"/>
      <c r="G18" s="14"/>
      <c r="H18" s="14"/>
      <c r="I18" s="15"/>
    </row>
    <row r="19" spans="1:9" ht="31.2" x14ac:dyDescent="0.45">
      <c r="A19" s="22" t="s">
        <v>1681</v>
      </c>
      <c r="B19" s="14">
        <v>100</v>
      </c>
      <c r="C19" s="14">
        <v>10</v>
      </c>
      <c r="D19" s="15">
        <v>0.1</v>
      </c>
      <c r="E19" s="16"/>
      <c r="F19" s="23" t="s">
        <v>2726</v>
      </c>
      <c r="G19" s="14">
        <v>100</v>
      </c>
      <c r="H19" s="14">
        <v>50</v>
      </c>
      <c r="I19" s="15">
        <v>0.5</v>
      </c>
    </row>
    <row r="20" spans="1:9" ht="27" x14ac:dyDescent="0.45">
      <c r="A20" s="21" t="s">
        <v>1682</v>
      </c>
      <c r="B20" s="14"/>
      <c r="C20" s="14"/>
      <c r="D20" s="14"/>
      <c r="E20" s="16"/>
      <c r="F20" s="98" t="s">
        <v>1683</v>
      </c>
      <c r="G20" s="14">
        <v>50</v>
      </c>
      <c r="H20" s="14">
        <v>10</v>
      </c>
      <c r="I20" s="15">
        <v>0.2</v>
      </c>
    </row>
    <row r="21" spans="1:9" ht="31.2" x14ac:dyDescent="0.45">
      <c r="A21" s="23" t="s">
        <v>1684</v>
      </c>
      <c r="B21" s="14">
        <v>100</v>
      </c>
      <c r="C21" s="14">
        <v>20</v>
      </c>
      <c r="D21" s="15">
        <v>0.2</v>
      </c>
      <c r="E21" s="16"/>
      <c r="F21" s="98"/>
      <c r="G21" s="14">
        <v>100</v>
      </c>
      <c r="H21" s="14">
        <v>20</v>
      </c>
      <c r="I21" s="15">
        <v>0.2</v>
      </c>
    </row>
    <row r="22" spans="1:9" ht="31.2" x14ac:dyDescent="0.45">
      <c r="A22" s="23" t="s">
        <v>1685</v>
      </c>
      <c r="B22" s="14">
        <v>100</v>
      </c>
      <c r="C22" s="14">
        <v>20</v>
      </c>
      <c r="D22" s="15">
        <v>0.2</v>
      </c>
      <c r="E22" s="16"/>
      <c r="F22" s="98" t="s">
        <v>1686</v>
      </c>
      <c r="G22" s="14">
        <v>50</v>
      </c>
      <c r="H22" s="14">
        <v>10</v>
      </c>
      <c r="I22" s="15">
        <v>0.2</v>
      </c>
    </row>
    <row r="23" spans="1:9" ht="27" x14ac:dyDescent="0.45">
      <c r="A23" s="21" t="s">
        <v>1766</v>
      </c>
      <c r="B23" s="14"/>
      <c r="C23" s="14"/>
      <c r="D23" s="15"/>
      <c r="E23" s="16"/>
      <c r="F23" s="98"/>
      <c r="G23" s="14">
        <v>100</v>
      </c>
      <c r="H23" s="14">
        <v>20</v>
      </c>
      <c r="I23" s="15">
        <v>0.2</v>
      </c>
    </row>
    <row r="24" spans="1:9" ht="25.2" x14ac:dyDescent="0.45">
      <c r="A24" s="95" t="s">
        <v>1688</v>
      </c>
      <c r="B24" s="14">
        <v>50</v>
      </c>
      <c r="C24" s="14">
        <v>10</v>
      </c>
      <c r="D24" s="15">
        <v>0.2</v>
      </c>
      <c r="E24" s="16"/>
      <c r="F24" s="98" t="s">
        <v>1689</v>
      </c>
      <c r="G24" s="14">
        <v>50</v>
      </c>
      <c r="H24" s="14">
        <v>10</v>
      </c>
      <c r="I24" s="15">
        <v>0.2</v>
      </c>
    </row>
    <row r="25" spans="1:9" ht="25.2" x14ac:dyDescent="0.45">
      <c r="A25" s="95"/>
      <c r="B25" s="14">
        <v>100</v>
      </c>
      <c r="C25" s="14">
        <v>20</v>
      </c>
      <c r="D25" s="15">
        <v>0.2</v>
      </c>
      <c r="E25" s="16"/>
      <c r="F25" s="98"/>
      <c r="G25" s="14">
        <v>100</v>
      </c>
      <c r="H25" s="14">
        <v>20</v>
      </c>
      <c r="I25" s="15">
        <v>0.2</v>
      </c>
    </row>
    <row r="26" spans="1:9" ht="25.2" x14ac:dyDescent="0.45">
      <c r="A26" s="95" t="s">
        <v>1767</v>
      </c>
      <c r="B26" s="14">
        <v>50</v>
      </c>
      <c r="C26" s="14">
        <v>10</v>
      </c>
      <c r="D26" s="15">
        <v>0.2</v>
      </c>
      <c r="E26" s="16"/>
      <c r="F26" s="99" t="s">
        <v>2732</v>
      </c>
      <c r="G26" s="17">
        <v>100</v>
      </c>
      <c r="H26" s="17">
        <v>20</v>
      </c>
      <c r="I26" s="18">
        <v>0.2</v>
      </c>
    </row>
    <row r="27" spans="1:9" ht="25.2" x14ac:dyDescent="0.45">
      <c r="A27" s="95"/>
      <c r="B27" s="14">
        <v>100</v>
      </c>
      <c r="C27" s="14">
        <v>20</v>
      </c>
      <c r="D27" s="15">
        <v>0.2</v>
      </c>
      <c r="E27" s="16"/>
      <c r="F27" s="99"/>
      <c r="G27" s="17">
        <v>200</v>
      </c>
      <c r="H27" s="17">
        <v>40</v>
      </c>
      <c r="I27" s="18">
        <v>0.2</v>
      </c>
    </row>
    <row r="28" spans="1:9" ht="36.6" x14ac:dyDescent="0.45">
      <c r="A28" s="24" t="s">
        <v>1690</v>
      </c>
      <c r="B28" s="14">
        <v>91</v>
      </c>
      <c r="C28" s="14">
        <v>9</v>
      </c>
      <c r="D28" s="15">
        <v>0.1</v>
      </c>
      <c r="E28" s="16"/>
      <c r="F28" s="99"/>
      <c r="G28" s="17">
        <v>300</v>
      </c>
      <c r="H28" s="17">
        <v>60</v>
      </c>
      <c r="I28" s="18">
        <v>0.2</v>
      </c>
    </row>
    <row r="29" spans="1:9" ht="25.2" x14ac:dyDescent="0.45">
      <c r="A29" s="95" t="s">
        <v>1691</v>
      </c>
      <c r="B29" s="14">
        <v>91</v>
      </c>
      <c r="C29" s="14">
        <v>9</v>
      </c>
      <c r="D29" s="15">
        <v>0.1</v>
      </c>
      <c r="E29" s="16"/>
      <c r="F29" s="100" t="s">
        <v>1692</v>
      </c>
      <c r="G29" s="14">
        <v>50</v>
      </c>
      <c r="H29" s="14">
        <v>10</v>
      </c>
      <c r="I29" s="15">
        <v>0.2</v>
      </c>
    </row>
    <row r="30" spans="1:9" ht="25.2" x14ac:dyDescent="0.45">
      <c r="A30" s="95"/>
      <c r="B30" s="14">
        <v>250</v>
      </c>
      <c r="C30" s="14">
        <v>50</v>
      </c>
      <c r="D30" s="15">
        <v>0.2</v>
      </c>
      <c r="E30" s="16"/>
      <c r="F30" s="100"/>
      <c r="G30" s="14">
        <v>100</v>
      </c>
      <c r="H30" s="14">
        <v>20</v>
      </c>
      <c r="I30" s="15">
        <v>0.2</v>
      </c>
    </row>
    <row r="31" spans="1:9" ht="25.2" x14ac:dyDescent="0.45">
      <c r="A31" s="95"/>
      <c r="B31" s="14">
        <v>500</v>
      </c>
      <c r="C31" s="14">
        <v>100</v>
      </c>
      <c r="D31" s="15">
        <v>0.2</v>
      </c>
      <c r="E31" s="16"/>
      <c r="F31" s="100" t="s">
        <v>2169</v>
      </c>
      <c r="G31" s="14">
        <v>30</v>
      </c>
      <c r="H31" s="14">
        <v>3</v>
      </c>
      <c r="I31" s="15">
        <v>0.1</v>
      </c>
    </row>
    <row r="32" spans="1:9" ht="36.6" x14ac:dyDescent="0.45">
      <c r="A32" s="24" t="s">
        <v>1693</v>
      </c>
      <c r="B32" s="14">
        <v>219</v>
      </c>
      <c r="C32" s="14">
        <v>21</v>
      </c>
      <c r="D32" s="15">
        <v>0.1</v>
      </c>
      <c r="E32" s="16"/>
      <c r="F32" s="100"/>
      <c r="G32" s="14">
        <v>50</v>
      </c>
      <c r="H32" s="14">
        <v>5</v>
      </c>
      <c r="I32" s="15">
        <v>0.1</v>
      </c>
    </row>
    <row r="33" spans="1:9" ht="25.2" x14ac:dyDescent="0.45">
      <c r="A33" s="95" t="s">
        <v>1694</v>
      </c>
      <c r="B33" s="14">
        <v>50</v>
      </c>
      <c r="C33" s="14">
        <v>10</v>
      </c>
      <c r="D33" s="15">
        <v>0.2</v>
      </c>
      <c r="E33" s="16"/>
      <c r="F33" s="100"/>
      <c r="G33" s="14">
        <v>100</v>
      </c>
      <c r="H33" s="14">
        <v>10</v>
      </c>
      <c r="I33" s="15">
        <v>0.1</v>
      </c>
    </row>
    <row r="34" spans="1:9" ht="25.2" x14ac:dyDescent="0.45">
      <c r="A34" s="95"/>
      <c r="B34" s="14">
        <v>100</v>
      </c>
      <c r="C34" s="14">
        <v>20</v>
      </c>
      <c r="D34" s="15">
        <v>0.2</v>
      </c>
      <c r="E34" s="16"/>
      <c r="F34" s="100" t="s">
        <v>1695</v>
      </c>
      <c r="G34" s="14">
        <v>30</v>
      </c>
      <c r="H34" s="14">
        <v>3</v>
      </c>
      <c r="I34" s="15">
        <v>0.1</v>
      </c>
    </row>
    <row r="35" spans="1:9" ht="25.2" x14ac:dyDescent="0.45">
      <c r="A35" s="95" t="s">
        <v>1696</v>
      </c>
      <c r="B35" s="14">
        <v>91</v>
      </c>
      <c r="C35" s="14">
        <v>9</v>
      </c>
      <c r="D35" s="15">
        <v>0.1</v>
      </c>
      <c r="E35" s="16"/>
      <c r="F35" s="100"/>
      <c r="G35" s="14">
        <v>60</v>
      </c>
      <c r="H35" s="14">
        <v>6</v>
      </c>
      <c r="I35" s="15">
        <v>0.1</v>
      </c>
    </row>
    <row r="36" spans="1:9" ht="25.2" x14ac:dyDescent="0.45">
      <c r="A36" s="95"/>
      <c r="B36" s="14">
        <v>250</v>
      </c>
      <c r="C36" s="14">
        <v>50</v>
      </c>
      <c r="D36" s="15">
        <v>0.2</v>
      </c>
      <c r="E36" s="16"/>
      <c r="F36" s="100"/>
      <c r="G36" s="14">
        <v>101</v>
      </c>
      <c r="H36" s="14">
        <v>10</v>
      </c>
      <c r="I36" s="15">
        <v>0.1</v>
      </c>
    </row>
    <row r="37" spans="1:9" ht="25.2" x14ac:dyDescent="0.45">
      <c r="A37" s="95"/>
      <c r="B37" s="14">
        <v>500</v>
      </c>
      <c r="C37" s="14">
        <v>100</v>
      </c>
      <c r="D37" s="15">
        <v>0.2</v>
      </c>
      <c r="E37" s="16"/>
      <c r="F37" s="95" t="s">
        <v>1697</v>
      </c>
      <c r="G37" s="17">
        <v>100</v>
      </c>
      <c r="H37" s="17">
        <v>20</v>
      </c>
      <c r="I37" s="18">
        <v>0.2</v>
      </c>
    </row>
    <row r="38" spans="1:9" ht="25.2" x14ac:dyDescent="0.45">
      <c r="A38" s="95" t="s">
        <v>1698</v>
      </c>
      <c r="B38" s="17">
        <v>55</v>
      </c>
      <c r="C38" s="17">
        <v>5</v>
      </c>
      <c r="D38" s="18">
        <v>0.1</v>
      </c>
      <c r="E38" s="16"/>
      <c r="F38" s="95"/>
      <c r="G38" s="17">
        <v>200</v>
      </c>
      <c r="H38" s="17">
        <v>40</v>
      </c>
      <c r="I38" s="18">
        <v>0.2</v>
      </c>
    </row>
    <row r="39" spans="1:9" ht="25.2" x14ac:dyDescent="0.45">
      <c r="A39" s="95"/>
      <c r="B39" s="17">
        <v>100</v>
      </c>
      <c r="C39" s="17">
        <v>10</v>
      </c>
      <c r="D39" s="18">
        <v>0.1</v>
      </c>
      <c r="E39" s="16"/>
      <c r="F39" s="95" t="s">
        <v>1699</v>
      </c>
      <c r="G39" s="17">
        <v>100</v>
      </c>
      <c r="H39" s="17">
        <v>20</v>
      </c>
      <c r="I39" s="18">
        <v>0.2</v>
      </c>
    </row>
    <row r="40" spans="1:9" ht="25.2" x14ac:dyDescent="0.45">
      <c r="A40" s="95" t="s">
        <v>1700</v>
      </c>
      <c r="B40" s="14">
        <v>57</v>
      </c>
      <c r="C40" s="14">
        <v>23</v>
      </c>
      <c r="D40" s="15">
        <v>0.4</v>
      </c>
      <c r="E40" s="16"/>
      <c r="F40" s="95"/>
      <c r="G40" s="17">
        <v>200</v>
      </c>
      <c r="H40" s="17">
        <v>40</v>
      </c>
      <c r="I40" s="18">
        <v>0.2</v>
      </c>
    </row>
    <row r="41" spans="1:9" ht="31.2" x14ac:dyDescent="0.45">
      <c r="A41" s="95"/>
      <c r="B41" s="14">
        <f>+B40*3</f>
        <v>171</v>
      </c>
      <c r="C41" s="14">
        <f>+C40*3</f>
        <v>69</v>
      </c>
      <c r="D41" s="15">
        <v>0.4</v>
      </c>
      <c r="E41" s="16"/>
      <c r="F41" s="23" t="s">
        <v>1701</v>
      </c>
      <c r="G41" s="14">
        <v>100</v>
      </c>
      <c r="H41" s="14">
        <v>10</v>
      </c>
      <c r="I41" s="15">
        <v>0.1</v>
      </c>
    </row>
    <row r="42" spans="1:9" ht="25.2" x14ac:dyDescent="0.45">
      <c r="A42" s="95"/>
      <c r="B42" s="14">
        <f>+B41+B40</f>
        <v>228</v>
      </c>
      <c r="C42" s="14">
        <f>+C41+C40</f>
        <v>92</v>
      </c>
      <c r="D42" s="15">
        <v>0.4</v>
      </c>
      <c r="E42" s="16"/>
      <c r="F42" s="101" t="s">
        <v>1702</v>
      </c>
      <c r="G42" s="14">
        <v>50</v>
      </c>
      <c r="H42" s="14">
        <v>10</v>
      </c>
      <c r="I42" s="15">
        <v>0.2</v>
      </c>
    </row>
    <row r="43" spans="1:9" ht="25.2" x14ac:dyDescent="0.45">
      <c r="A43" s="101" t="s">
        <v>1703</v>
      </c>
      <c r="B43" s="14">
        <v>50</v>
      </c>
      <c r="C43" s="14">
        <v>10</v>
      </c>
      <c r="D43" s="15">
        <v>0.2</v>
      </c>
      <c r="E43" s="16"/>
      <c r="F43" s="101"/>
      <c r="G43" s="14">
        <v>100</v>
      </c>
      <c r="H43" s="14">
        <v>20</v>
      </c>
      <c r="I43" s="15">
        <v>0.2</v>
      </c>
    </row>
    <row r="44" spans="1:9" ht="25.2" x14ac:dyDescent="0.45">
      <c r="A44" s="101"/>
      <c r="B44" s="14">
        <v>100</v>
      </c>
      <c r="C44" s="14">
        <v>20</v>
      </c>
      <c r="D44" s="15">
        <v>0.2</v>
      </c>
      <c r="E44" s="16"/>
      <c r="F44" s="98" t="s">
        <v>2727</v>
      </c>
      <c r="G44" s="14">
        <v>50</v>
      </c>
      <c r="H44" s="14">
        <v>10</v>
      </c>
      <c r="I44" s="15">
        <v>0.2</v>
      </c>
    </row>
    <row r="45" spans="1:9" ht="25.2" x14ac:dyDescent="0.45">
      <c r="A45" s="98" t="s">
        <v>1704</v>
      </c>
      <c r="B45" s="14">
        <v>50</v>
      </c>
      <c r="C45" s="14">
        <v>10</v>
      </c>
      <c r="D45" s="15">
        <v>0.2</v>
      </c>
      <c r="E45" s="16"/>
      <c r="F45" s="98"/>
      <c r="G45" s="14">
        <v>100</v>
      </c>
      <c r="H45" s="14">
        <v>20</v>
      </c>
      <c r="I45" s="15">
        <v>0.2</v>
      </c>
    </row>
    <row r="46" spans="1:9" ht="31.2" x14ac:dyDescent="0.45">
      <c r="A46" s="98"/>
      <c r="B46" s="14">
        <v>100</v>
      </c>
      <c r="C46" s="14">
        <v>20</v>
      </c>
      <c r="D46" s="15">
        <v>0.2</v>
      </c>
      <c r="E46" s="16"/>
      <c r="F46" s="23" t="s">
        <v>1705</v>
      </c>
      <c r="G46" s="14">
        <v>100</v>
      </c>
      <c r="H46" s="14">
        <v>20</v>
      </c>
      <c r="I46" s="15">
        <v>0.2</v>
      </c>
    </row>
    <row r="47" spans="1:9" ht="27" x14ac:dyDescent="0.5">
      <c r="E47" s="16"/>
      <c r="F47" s="27"/>
      <c r="G47" s="28"/>
      <c r="H47" s="28"/>
      <c r="I47" s="28"/>
    </row>
    <row r="48" spans="1:9" ht="27" x14ac:dyDescent="0.5">
      <c r="A48" s="29"/>
      <c r="B48" s="30"/>
      <c r="C48" s="30"/>
      <c r="D48" s="31"/>
      <c r="E48" s="16"/>
      <c r="F48" s="27"/>
      <c r="G48" s="28"/>
      <c r="H48" s="28"/>
      <c r="I48" s="28"/>
    </row>
    <row r="49" spans="1:9" ht="27" x14ac:dyDescent="0.5">
      <c r="A49" s="29"/>
      <c r="B49" s="30"/>
      <c r="C49" s="30"/>
      <c r="D49" s="31"/>
      <c r="E49" s="32"/>
      <c r="F49" s="27"/>
      <c r="G49" s="28"/>
      <c r="H49" s="28"/>
      <c r="I49" s="28"/>
    </row>
    <row r="50" spans="1:9" ht="23.4" x14ac:dyDescent="0.45">
      <c r="A50" s="102" t="s">
        <v>1762</v>
      </c>
      <c r="B50" s="102"/>
      <c r="C50" s="102"/>
      <c r="D50" s="102"/>
      <c r="E50" s="33"/>
      <c r="F50" s="103" t="s">
        <v>1763</v>
      </c>
      <c r="G50" s="103"/>
      <c r="H50" s="103"/>
      <c r="I50" s="103"/>
    </row>
    <row r="51" spans="1:9" ht="42" x14ac:dyDescent="0.45">
      <c r="A51" s="34" t="s">
        <v>1665</v>
      </c>
      <c r="B51" s="35" t="s">
        <v>1666</v>
      </c>
      <c r="C51" s="35" t="s">
        <v>1667</v>
      </c>
      <c r="D51" s="35" t="s">
        <v>1668</v>
      </c>
      <c r="E51" s="33"/>
      <c r="F51" s="34" t="s">
        <v>1665</v>
      </c>
      <c r="G51" s="35" t="s">
        <v>1666</v>
      </c>
      <c r="H51" s="35" t="s">
        <v>1667</v>
      </c>
      <c r="I51" s="35" t="s">
        <v>1668</v>
      </c>
    </row>
    <row r="52" spans="1:9" ht="28.8" x14ac:dyDescent="0.45">
      <c r="A52" s="36" t="s">
        <v>1707</v>
      </c>
      <c r="B52" s="37">
        <v>500</v>
      </c>
      <c r="C52" s="37">
        <v>50</v>
      </c>
      <c r="D52" s="38">
        <v>0.1</v>
      </c>
      <c r="E52" s="33"/>
      <c r="F52" s="104" t="s">
        <v>2728</v>
      </c>
      <c r="G52" s="39">
        <v>25</v>
      </c>
      <c r="H52" s="39">
        <v>5</v>
      </c>
      <c r="I52" s="40">
        <v>0.2</v>
      </c>
    </row>
    <row r="53" spans="1:9" ht="28.8" x14ac:dyDescent="0.4">
      <c r="A53" s="36" t="s">
        <v>1708</v>
      </c>
      <c r="B53" s="37">
        <v>500</v>
      </c>
      <c r="C53" s="37">
        <v>50</v>
      </c>
      <c r="D53" s="38">
        <v>0.1</v>
      </c>
      <c r="E53" s="41"/>
      <c r="F53" s="104"/>
      <c r="G53" s="39">
        <v>50</v>
      </c>
      <c r="H53" s="39">
        <v>10</v>
      </c>
      <c r="I53" s="40">
        <v>0.2</v>
      </c>
    </row>
    <row r="54" spans="1:9" ht="28.8" x14ac:dyDescent="0.4">
      <c r="A54" s="105" t="s">
        <v>21</v>
      </c>
      <c r="B54" s="37">
        <v>50</v>
      </c>
      <c r="C54" s="37">
        <v>10</v>
      </c>
      <c r="D54" s="38">
        <v>0.2</v>
      </c>
      <c r="E54" s="41"/>
      <c r="F54" s="104"/>
      <c r="G54" s="39">
        <v>100</v>
      </c>
      <c r="H54" s="39">
        <v>20</v>
      </c>
      <c r="I54" s="40">
        <v>0.2</v>
      </c>
    </row>
    <row r="55" spans="1:9" ht="28.8" x14ac:dyDescent="0.4">
      <c r="A55" s="105"/>
      <c r="B55" s="37">
        <v>125</v>
      </c>
      <c r="C55" s="37">
        <v>25</v>
      </c>
      <c r="D55" s="38">
        <v>0.2</v>
      </c>
      <c r="E55" s="41"/>
      <c r="F55" s="104" t="s">
        <v>2729</v>
      </c>
      <c r="G55" s="39">
        <v>20</v>
      </c>
      <c r="H55" s="39">
        <v>4</v>
      </c>
      <c r="I55" s="40">
        <v>0.2</v>
      </c>
    </row>
    <row r="56" spans="1:9" ht="28.8" x14ac:dyDescent="0.4">
      <c r="A56" s="105" t="s">
        <v>1709</v>
      </c>
      <c r="B56" s="37">
        <v>50</v>
      </c>
      <c r="C56" s="37">
        <v>10</v>
      </c>
      <c r="D56" s="38">
        <v>0.2</v>
      </c>
      <c r="E56" s="41"/>
      <c r="F56" s="104"/>
      <c r="G56" s="39">
        <v>50</v>
      </c>
      <c r="H56" s="39">
        <v>10</v>
      </c>
      <c r="I56" s="40">
        <v>0.2</v>
      </c>
    </row>
    <row r="57" spans="1:9" ht="28.8" x14ac:dyDescent="0.4">
      <c r="A57" s="105"/>
      <c r="B57" s="37">
        <v>100</v>
      </c>
      <c r="C57" s="37">
        <v>20</v>
      </c>
      <c r="D57" s="38">
        <v>0.2</v>
      </c>
      <c r="E57" s="41"/>
      <c r="F57" s="104"/>
      <c r="G57" s="39">
        <v>100</v>
      </c>
      <c r="H57" s="39">
        <v>20</v>
      </c>
      <c r="I57" s="40">
        <v>0.2</v>
      </c>
    </row>
    <row r="58" spans="1:9" ht="28.8" x14ac:dyDescent="0.4">
      <c r="A58" s="36" t="s">
        <v>1710</v>
      </c>
      <c r="B58" s="37">
        <v>100</v>
      </c>
      <c r="C58" s="37">
        <v>20</v>
      </c>
      <c r="D58" s="38">
        <v>0.2</v>
      </c>
      <c r="E58" s="41"/>
      <c r="F58" s="104" t="s">
        <v>1711</v>
      </c>
      <c r="G58" s="39">
        <v>30</v>
      </c>
      <c r="H58" s="39">
        <v>3</v>
      </c>
      <c r="I58" s="40">
        <v>0.1</v>
      </c>
    </row>
    <row r="59" spans="1:9" ht="28.8" x14ac:dyDescent="0.4">
      <c r="A59" s="105" t="s">
        <v>1712</v>
      </c>
      <c r="B59" s="37">
        <v>50</v>
      </c>
      <c r="C59" s="37">
        <v>10</v>
      </c>
      <c r="D59" s="38">
        <v>0.2</v>
      </c>
      <c r="E59" s="41"/>
      <c r="F59" s="104"/>
      <c r="G59" s="39">
        <v>90</v>
      </c>
      <c r="H59" s="39">
        <v>9</v>
      </c>
      <c r="I59" s="40">
        <v>0.1</v>
      </c>
    </row>
    <row r="60" spans="1:9" ht="28.8" x14ac:dyDescent="0.4">
      <c r="A60" s="105"/>
      <c r="B60" s="37">
        <v>100</v>
      </c>
      <c r="C60" s="37">
        <v>20</v>
      </c>
      <c r="D60" s="38">
        <v>0.2</v>
      </c>
      <c r="E60" s="41"/>
      <c r="F60" s="104"/>
      <c r="G60" s="39">
        <v>120</v>
      </c>
      <c r="H60" s="39">
        <v>12</v>
      </c>
      <c r="I60" s="40">
        <v>0.1</v>
      </c>
    </row>
    <row r="61" spans="1:9" ht="28.8" x14ac:dyDescent="0.4">
      <c r="A61" s="105" t="s">
        <v>1713</v>
      </c>
      <c r="B61" s="37">
        <v>50</v>
      </c>
      <c r="C61" s="37">
        <v>10</v>
      </c>
      <c r="D61" s="38">
        <v>0.2</v>
      </c>
      <c r="E61" s="41"/>
      <c r="F61" s="106" t="s">
        <v>1714</v>
      </c>
      <c r="G61" s="39">
        <v>50</v>
      </c>
      <c r="H61" s="39">
        <v>10</v>
      </c>
      <c r="I61" s="40">
        <v>0.2</v>
      </c>
    </row>
    <row r="62" spans="1:9" ht="28.8" x14ac:dyDescent="0.4">
      <c r="A62" s="105"/>
      <c r="B62" s="37">
        <v>100</v>
      </c>
      <c r="C62" s="37">
        <v>20</v>
      </c>
      <c r="D62" s="38">
        <v>0.2</v>
      </c>
      <c r="E62" s="41"/>
      <c r="F62" s="106"/>
      <c r="G62" s="39">
        <v>100</v>
      </c>
      <c r="H62" s="39">
        <v>20</v>
      </c>
      <c r="I62" s="40">
        <v>0.2</v>
      </c>
    </row>
    <row r="63" spans="1:9" ht="28.8" x14ac:dyDescent="0.4">
      <c r="A63" s="36" t="s">
        <v>1715</v>
      </c>
      <c r="B63" s="37">
        <v>100</v>
      </c>
      <c r="C63" s="37">
        <v>10</v>
      </c>
      <c r="D63" s="38">
        <v>0.1</v>
      </c>
      <c r="E63" s="41"/>
      <c r="F63" s="104" t="s">
        <v>1716</v>
      </c>
      <c r="G63" s="39">
        <v>50</v>
      </c>
      <c r="H63" s="39">
        <v>10</v>
      </c>
      <c r="I63" s="40">
        <v>0.2</v>
      </c>
    </row>
    <row r="64" spans="1:9" ht="28.8" x14ac:dyDescent="0.4">
      <c r="A64" s="105" t="s">
        <v>2532</v>
      </c>
      <c r="B64" s="37">
        <v>55</v>
      </c>
      <c r="C64" s="37">
        <v>5</v>
      </c>
      <c r="D64" s="38">
        <v>0.1</v>
      </c>
      <c r="E64" s="41"/>
      <c r="F64" s="104"/>
      <c r="G64" s="39">
        <v>100</v>
      </c>
      <c r="H64" s="39">
        <v>20</v>
      </c>
      <c r="I64" s="40">
        <v>0.2</v>
      </c>
    </row>
    <row r="65" spans="1:9" ht="28.8" x14ac:dyDescent="0.4">
      <c r="A65" s="105"/>
      <c r="B65" s="37">
        <v>100</v>
      </c>
      <c r="C65" s="37">
        <v>10</v>
      </c>
      <c r="D65" s="38">
        <v>0.1</v>
      </c>
      <c r="E65" s="41"/>
      <c r="F65" s="107" t="s">
        <v>1717</v>
      </c>
      <c r="G65" s="39">
        <v>41</v>
      </c>
      <c r="H65" s="39">
        <v>4</v>
      </c>
      <c r="I65" s="40">
        <v>0.1</v>
      </c>
    </row>
    <row r="66" spans="1:9" ht="28.8" x14ac:dyDescent="0.4">
      <c r="A66" s="36" t="s">
        <v>1718</v>
      </c>
      <c r="B66" s="37">
        <v>100</v>
      </c>
      <c r="C66" s="37">
        <v>20</v>
      </c>
      <c r="D66" s="38">
        <v>0.2</v>
      </c>
      <c r="E66" s="41"/>
      <c r="F66" s="107"/>
      <c r="G66" s="39">
        <v>109</v>
      </c>
      <c r="H66" s="39">
        <v>11</v>
      </c>
      <c r="I66" s="40">
        <v>0.1</v>
      </c>
    </row>
    <row r="67" spans="1:9" ht="28.8" x14ac:dyDescent="0.4">
      <c r="A67" s="105" t="s">
        <v>1719</v>
      </c>
      <c r="B67" s="37">
        <v>50</v>
      </c>
      <c r="C67" s="37">
        <v>10</v>
      </c>
      <c r="D67" s="38">
        <v>0.2</v>
      </c>
      <c r="E67" s="41"/>
      <c r="F67" s="107" t="s">
        <v>1720</v>
      </c>
      <c r="G67" s="39">
        <v>25</v>
      </c>
      <c r="H67" s="39">
        <v>5</v>
      </c>
      <c r="I67" s="40">
        <v>0.2</v>
      </c>
    </row>
    <row r="68" spans="1:9" ht="28.8" x14ac:dyDescent="0.4">
      <c r="A68" s="105"/>
      <c r="B68" s="37">
        <v>100</v>
      </c>
      <c r="C68" s="37">
        <v>20</v>
      </c>
      <c r="D68" s="38">
        <v>0.2</v>
      </c>
      <c r="E68" s="41"/>
      <c r="F68" s="107"/>
      <c r="G68" s="39">
        <v>50</v>
      </c>
      <c r="H68" s="39">
        <v>10</v>
      </c>
      <c r="I68" s="40">
        <v>0.2</v>
      </c>
    </row>
    <row r="69" spans="1:9" ht="28.8" x14ac:dyDescent="0.4">
      <c r="A69" s="36" t="s">
        <v>1721</v>
      </c>
      <c r="B69" s="37">
        <v>100</v>
      </c>
      <c r="C69" s="37">
        <v>50</v>
      </c>
      <c r="D69" s="38">
        <v>0.5</v>
      </c>
      <c r="E69" s="41"/>
      <c r="F69" s="107"/>
      <c r="G69" s="39">
        <v>100</v>
      </c>
      <c r="H69" s="39">
        <v>20</v>
      </c>
      <c r="I69" s="40">
        <v>0.2</v>
      </c>
    </row>
    <row r="70" spans="1:9" ht="28.8" x14ac:dyDescent="0.4">
      <c r="A70" s="105" t="s">
        <v>1722</v>
      </c>
      <c r="B70" s="37">
        <v>50</v>
      </c>
      <c r="C70" s="37">
        <v>10</v>
      </c>
      <c r="D70" s="38">
        <v>0.2</v>
      </c>
      <c r="E70" s="41"/>
      <c r="F70" s="108" t="s">
        <v>1723</v>
      </c>
      <c r="G70" s="39">
        <v>50</v>
      </c>
      <c r="H70" s="39">
        <v>10</v>
      </c>
      <c r="I70" s="40">
        <v>0.2</v>
      </c>
    </row>
    <row r="71" spans="1:9" ht="28.8" x14ac:dyDescent="0.4">
      <c r="A71" s="105"/>
      <c r="B71" s="37">
        <v>100</v>
      </c>
      <c r="C71" s="37">
        <v>20</v>
      </c>
      <c r="D71" s="38">
        <v>0.2</v>
      </c>
      <c r="E71" s="41"/>
      <c r="F71" s="108"/>
      <c r="G71" s="39">
        <v>100</v>
      </c>
      <c r="H71" s="39">
        <v>20</v>
      </c>
      <c r="I71" s="40">
        <v>0.2</v>
      </c>
    </row>
    <row r="72" spans="1:9" ht="28.8" x14ac:dyDescent="0.4">
      <c r="A72" s="105" t="s">
        <v>1724</v>
      </c>
      <c r="B72" s="37">
        <v>50</v>
      </c>
      <c r="C72" s="37">
        <v>10</v>
      </c>
      <c r="D72" s="38">
        <v>0.2</v>
      </c>
      <c r="E72" s="41"/>
      <c r="F72" s="104" t="s">
        <v>1725</v>
      </c>
      <c r="G72" s="39">
        <v>30</v>
      </c>
      <c r="H72" s="39">
        <v>3</v>
      </c>
      <c r="I72" s="40">
        <v>0.1</v>
      </c>
    </row>
    <row r="73" spans="1:9" ht="28.8" x14ac:dyDescent="0.4">
      <c r="A73" s="105"/>
      <c r="B73" s="37">
        <v>100</v>
      </c>
      <c r="C73" s="37">
        <v>20</v>
      </c>
      <c r="D73" s="38">
        <v>0.2</v>
      </c>
      <c r="E73" s="41"/>
      <c r="F73" s="104"/>
      <c r="G73" s="39">
        <v>90</v>
      </c>
      <c r="H73" s="39">
        <v>9</v>
      </c>
      <c r="I73" s="40">
        <v>0.1</v>
      </c>
    </row>
    <row r="74" spans="1:9" ht="28.8" x14ac:dyDescent="0.4">
      <c r="A74" s="105" t="s">
        <v>1726</v>
      </c>
      <c r="B74" s="37">
        <v>50</v>
      </c>
      <c r="C74" s="37">
        <v>10</v>
      </c>
      <c r="D74" s="38">
        <v>0.2</v>
      </c>
      <c r="E74" s="41"/>
      <c r="F74" s="104"/>
      <c r="G74" s="39">
        <v>120</v>
      </c>
      <c r="H74" s="39">
        <v>12</v>
      </c>
      <c r="I74" s="40">
        <v>0.1</v>
      </c>
    </row>
    <row r="75" spans="1:9" ht="28.8" x14ac:dyDescent="0.4">
      <c r="A75" s="105"/>
      <c r="B75" s="37">
        <v>100</v>
      </c>
      <c r="C75" s="37">
        <v>20</v>
      </c>
      <c r="D75" s="38">
        <v>0.2</v>
      </c>
      <c r="E75" s="41"/>
      <c r="F75" s="104" t="s">
        <v>1727</v>
      </c>
      <c r="G75" s="39">
        <v>25</v>
      </c>
      <c r="H75" s="39">
        <v>5</v>
      </c>
      <c r="I75" s="40">
        <v>0.2</v>
      </c>
    </row>
    <row r="76" spans="1:9" ht="28.8" x14ac:dyDescent="0.4">
      <c r="A76" s="105" t="s">
        <v>1728</v>
      </c>
      <c r="B76" s="37">
        <v>55</v>
      </c>
      <c r="C76" s="37">
        <v>5</v>
      </c>
      <c r="D76" s="38">
        <v>0.1</v>
      </c>
      <c r="E76" s="41"/>
      <c r="F76" s="104"/>
      <c r="G76" s="39">
        <v>50</v>
      </c>
      <c r="H76" s="39">
        <v>10</v>
      </c>
      <c r="I76" s="40">
        <v>0.2</v>
      </c>
    </row>
    <row r="77" spans="1:9" ht="28.8" x14ac:dyDescent="0.4">
      <c r="A77" s="105"/>
      <c r="B77" s="37">
        <v>100</v>
      </c>
      <c r="C77" s="37">
        <v>10</v>
      </c>
      <c r="D77" s="38">
        <v>0.1</v>
      </c>
      <c r="E77" s="41"/>
      <c r="F77" s="104"/>
      <c r="G77" s="39">
        <v>100</v>
      </c>
      <c r="H77" s="39">
        <v>20</v>
      </c>
      <c r="I77" s="40">
        <v>0.2</v>
      </c>
    </row>
    <row r="78" spans="1:9" ht="28.8" x14ac:dyDescent="0.4">
      <c r="A78" s="105" t="s">
        <v>1729</v>
      </c>
      <c r="B78" s="37">
        <v>50</v>
      </c>
      <c r="C78" s="37">
        <v>10</v>
      </c>
      <c r="D78" s="38">
        <v>0.2</v>
      </c>
      <c r="E78" s="41"/>
      <c r="F78" s="104" t="s">
        <v>2690</v>
      </c>
      <c r="G78" s="39">
        <v>30</v>
      </c>
      <c r="H78" s="39">
        <v>6</v>
      </c>
      <c r="I78" s="40">
        <v>0.2</v>
      </c>
    </row>
    <row r="79" spans="1:9" ht="28.8" x14ac:dyDescent="0.4">
      <c r="A79" s="105"/>
      <c r="B79" s="37">
        <v>100</v>
      </c>
      <c r="C79" s="37">
        <v>20</v>
      </c>
      <c r="D79" s="38">
        <v>0.2</v>
      </c>
      <c r="E79" s="41"/>
      <c r="F79" s="104"/>
      <c r="G79" s="39">
        <v>50</v>
      </c>
      <c r="H79" s="39">
        <v>10</v>
      </c>
      <c r="I79" s="40">
        <v>0.2</v>
      </c>
    </row>
    <row r="80" spans="1:9" ht="28.8" x14ac:dyDescent="0.4">
      <c r="A80" s="105" t="s">
        <v>1730</v>
      </c>
      <c r="B80" s="37">
        <v>55</v>
      </c>
      <c r="C80" s="37">
        <v>5</v>
      </c>
      <c r="D80" s="38">
        <v>0.1</v>
      </c>
      <c r="E80" s="41"/>
      <c r="F80" s="104"/>
      <c r="G80" s="39">
        <v>100</v>
      </c>
      <c r="H80" s="39">
        <v>20</v>
      </c>
      <c r="I80" s="40">
        <v>0.2</v>
      </c>
    </row>
    <row r="81" spans="1:9" ht="28.8" x14ac:dyDescent="0.4">
      <c r="A81" s="105"/>
      <c r="B81" s="37">
        <v>100</v>
      </c>
      <c r="C81" s="37">
        <v>10</v>
      </c>
      <c r="D81" s="38">
        <v>0.1</v>
      </c>
      <c r="E81" s="41"/>
      <c r="F81" s="104" t="s">
        <v>2730</v>
      </c>
      <c r="G81" s="39">
        <v>25</v>
      </c>
      <c r="H81" s="39">
        <v>5</v>
      </c>
      <c r="I81" s="40">
        <v>0.2</v>
      </c>
    </row>
    <row r="82" spans="1:9" ht="28.8" x14ac:dyDescent="0.4">
      <c r="A82" s="105" t="s">
        <v>1731</v>
      </c>
      <c r="B82" s="37">
        <v>55</v>
      </c>
      <c r="C82" s="37">
        <v>5</v>
      </c>
      <c r="D82" s="38">
        <v>0.1</v>
      </c>
      <c r="E82" s="41"/>
      <c r="F82" s="104"/>
      <c r="G82" s="39">
        <v>50</v>
      </c>
      <c r="H82" s="39">
        <v>10</v>
      </c>
      <c r="I82" s="40">
        <v>0.2</v>
      </c>
    </row>
    <row r="83" spans="1:9" ht="28.8" x14ac:dyDescent="0.4">
      <c r="A83" s="105"/>
      <c r="B83" s="37">
        <v>100</v>
      </c>
      <c r="C83" s="37">
        <v>10</v>
      </c>
      <c r="D83" s="38">
        <v>0.1</v>
      </c>
      <c r="E83" s="41"/>
      <c r="F83" s="104"/>
      <c r="G83" s="39">
        <v>100</v>
      </c>
      <c r="H83" s="39">
        <v>20</v>
      </c>
      <c r="I83" s="40">
        <v>0.2</v>
      </c>
    </row>
    <row r="84" spans="1:9" ht="28.8" x14ac:dyDescent="0.4">
      <c r="A84" s="105" t="s">
        <v>1732</v>
      </c>
      <c r="B84" s="37">
        <v>30</v>
      </c>
      <c r="C84" s="37">
        <v>3</v>
      </c>
      <c r="D84" s="38">
        <v>0.1</v>
      </c>
      <c r="E84" s="41"/>
      <c r="F84" s="104" t="s">
        <v>1733</v>
      </c>
      <c r="G84" s="39">
        <v>91</v>
      </c>
      <c r="H84" s="39">
        <v>9</v>
      </c>
      <c r="I84" s="40">
        <v>0.1</v>
      </c>
    </row>
    <row r="85" spans="1:9" ht="28.8" x14ac:dyDescent="0.4">
      <c r="A85" s="105"/>
      <c r="B85" s="37">
        <v>100</v>
      </c>
      <c r="C85" s="37">
        <v>10</v>
      </c>
      <c r="D85" s="38">
        <v>0.1</v>
      </c>
      <c r="E85" s="41"/>
      <c r="F85" s="104"/>
      <c r="G85" s="39">
        <v>182</v>
      </c>
      <c r="H85" s="39">
        <v>18</v>
      </c>
      <c r="I85" s="40">
        <v>0.1</v>
      </c>
    </row>
    <row r="86" spans="1:9" ht="31.2" x14ac:dyDescent="0.4">
      <c r="A86" s="105" t="s">
        <v>1734</v>
      </c>
      <c r="B86" s="37">
        <v>30</v>
      </c>
      <c r="C86" s="37">
        <v>6</v>
      </c>
      <c r="D86" s="38">
        <v>0.2</v>
      </c>
      <c r="E86" s="41"/>
      <c r="F86" s="42" t="s">
        <v>1735</v>
      </c>
      <c r="G86" s="39">
        <v>120</v>
      </c>
      <c r="H86" s="39">
        <v>12</v>
      </c>
      <c r="I86" s="40">
        <v>0.1</v>
      </c>
    </row>
    <row r="87" spans="1:9" ht="28.8" x14ac:dyDescent="0.4">
      <c r="A87" s="105"/>
      <c r="B87" s="37">
        <v>100</v>
      </c>
      <c r="C87" s="37">
        <v>20</v>
      </c>
      <c r="D87" s="38">
        <v>0.2</v>
      </c>
      <c r="E87" s="41"/>
      <c r="F87" s="106" t="s">
        <v>1736</v>
      </c>
      <c r="G87" s="39">
        <v>10</v>
      </c>
      <c r="H87" s="39">
        <v>2</v>
      </c>
      <c r="I87" s="40">
        <v>0.2</v>
      </c>
    </row>
    <row r="88" spans="1:9" ht="28.8" x14ac:dyDescent="0.4">
      <c r="A88" s="105" t="s">
        <v>1737</v>
      </c>
      <c r="B88" s="37">
        <v>55</v>
      </c>
      <c r="C88" s="37">
        <v>5</v>
      </c>
      <c r="D88" s="38">
        <v>0.1</v>
      </c>
      <c r="E88" s="41"/>
      <c r="F88" s="106"/>
      <c r="G88" s="39">
        <v>25</v>
      </c>
      <c r="H88" s="39">
        <v>5</v>
      </c>
      <c r="I88" s="40">
        <v>0.2</v>
      </c>
    </row>
    <row r="89" spans="1:9" ht="28.8" x14ac:dyDescent="0.4">
      <c r="A89" s="105"/>
      <c r="B89" s="37">
        <v>100</v>
      </c>
      <c r="C89" s="37">
        <v>10</v>
      </c>
      <c r="D89" s="38">
        <v>0.1</v>
      </c>
      <c r="E89" s="41"/>
      <c r="F89" s="106"/>
      <c r="G89" s="39">
        <v>50</v>
      </c>
      <c r="H89" s="39">
        <v>10</v>
      </c>
      <c r="I89" s="40">
        <v>0.2</v>
      </c>
    </row>
    <row r="90" spans="1:9" ht="25.8" customHeight="1" x14ac:dyDescent="0.4">
      <c r="A90" s="105" t="s">
        <v>1738</v>
      </c>
      <c r="B90" s="37">
        <v>50</v>
      </c>
      <c r="C90" s="37">
        <v>10</v>
      </c>
      <c r="D90" s="38">
        <v>0.2</v>
      </c>
      <c r="E90" s="41"/>
      <c r="F90" s="106"/>
      <c r="G90" s="39">
        <v>100</v>
      </c>
      <c r="H90" s="39">
        <v>20</v>
      </c>
      <c r="I90" s="40">
        <v>0.2</v>
      </c>
    </row>
    <row r="91" spans="1:9" ht="25.8" customHeight="1" x14ac:dyDescent="0.4">
      <c r="A91" s="105"/>
      <c r="B91" s="37">
        <v>100</v>
      </c>
      <c r="C91" s="37">
        <v>20</v>
      </c>
      <c r="D91" s="38">
        <v>0.2</v>
      </c>
      <c r="E91" s="41"/>
      <c r="F91" s="104" t="s">
        <v>1739</v>
      </c>
      <c r="G91" s="39">
        <v>50</v>
      </c>
      <c r="H91" s="39">
        <v>10</v>
      </c>
      <c r="I91" s="40">
        <v>0.2</v>
      </c>
    </row>
    <row r="92" spans="1:9" ht="28.8" customHeight="1" x14ac:dyDescent="0.4">
      <c r="A92" s="105"/>
      <c r="B92" s="37">
        <v>150</v>
      </c>
      <c r="C92" s="37">
        <v>30</v>
      </c>
      <c r="D92" s="38">
        <v>0.2</v>
      </c>
      <c r="E92" s="41"/>
      <c r="F92" s="104"/>
      <c r="G92" s="39">
        <v>100</v>
      </c>
      <c r="H92" s="39">
        <v>20</v>
      </c>
      <c r="I92" s="40">
        <v>0.2</v>
      </c>
    </row>
    <row r="93" spans="1:9" ht="28.8" x14ac:dyDescent="0.4">
      <c r="A93" s="105" t="s">
        <v>1740</v>
      </c>
      <c r="B93" s="37">
        <v>50</v>
      </c>
      <c r="C93" s="37">
        <v>5</v>
      </c>
      <c r="D93" s="38">
        <v>0.1</v>
      </c>
      <c r="E93" s="41"/>
      <c r="F93" s="104" t="s">
        <v>1741</v>
      </c>
      <c r="G93" s="39">
        <v>25</v>
      </c>
      <c r="H93" s="39">
        <v>5</v>
      </c>
      <c r="I93" s="40">
        <v>0.2</v>
      </c>
    </row>
    <row r="94" spans="1:9" ht="28.8" x14ac:dyDescent="0.4">
      <c r="A94" s="105"/>
      <c r="B94" s="37">
        <v>100</v>
      </c>
      <c r="C94" s="37">
        <v>10</v>
      </c>
      <c r="D94" s="38">
        <v>0.1</v>
      </c>
      <c r="E94" s="41"/>
      <c r="F94" s="104"/>
      <c r="G94" s="39">
        <v>50</v>
      </c>
      <c r="H94" s="39">
        <v>10</v>
      </c>
      <c r="I94" s="40">
        <v>0.2</v>
      </c>
    </row>
    <row r="95" spans="1:9" ht="28.8" x14ac:dyDescent="0.4">
      <c r="A95" s="105" t="s">
        <v>1742</v>
      </c>
      <c r="B95" s="37">
        <v>10</v>
      </c>
      <c r="C95" s="37">
        <v>2</v>
      </c>
      <c r="D95" s="38">
        <v>0.2</v>
      </c>
      <c r="E95" s="41"/>
      <c r="F95" s="104"/>
      <c r="G95" s="39">
        <v>100</v>
      </c>
      <c r="H95" s="39">
        <v>20</v>
      </c>
      <c r="I95" s="40">
        <v>0.2</v>
      </c>
    </row>
    <row r="96" spans="1:9" ht="28.8" x14ac:dyDescent="0.4">
      <c r="A96" s="105"/>
      <c r="B96" s="37">
        <v>50</v>
      </c>
      <c r="C96" s="37">
        <v>10</v>
      </c>
      <c r="D96" s="38">
        <v>0.2</v>
      </c>
      <c r="E96" s="41"/>
      <c r="F96" s="104" t="s">
        <v>1743</v>
      </c>
      <c r="G96" s="39">
        <v>55</v>
      </c>
      <c r="H96" s="39">
        <v>5</v>
      </c>
      <c r="I96" s="40">
        <v>0.1</v>
      </c>
    </row>
    <row r="97" spans="1:12" ht="28.8" x14ac:dyDescent="0.4">
      <c r="A97" s="105"/>
      <c r="B97" s="37">
        <v>100</v>
      </c>
      <c r="C97" s="37">
        <v>20</v>
      </c>
      <c r="D97" s="38">
        <v>0.2</v>
      </c>
      <c r="E97" s="41"/>
      <c r="F97" s="104"/>
      <c r="G97" s="39">
        <v>100</v>
      </c>
      <c r="H97" s="39">
        <v>10</v>
      </c>
      <c r="I97" s="40">
        <v>0.1</v>
      </c>
    </row>
    <row r="98" spans="1:12" ht="28.8" x14ac:dyDescent="0.4">
      <c r="A98" s="105" t="s">
        <v>1744</v>
      </c>
      <c r="B98" s="37">
        <v>50</v>
      </c>
      <c r="C98" s="37">
        <v>10</v>
      </c>
      <c r="D98" s="38">
        <v>0.2</v>
      </c>
      <c r="E98" s="41"/>
      <c r="F98" s="104" t="s">
        <v>1745</v>
      </c>
      <c r="G98" s="39">
        <v>25</v>
      </c>
      <c r="H98" s="39">
        <v>5</v>
      </c>
      <c r="I98" s="40">
        <v>0.2</v>
      </c>
    </row>
    <row r="99" spans="1:12" ht="28.8" x14ac:dyDescent="0.4">
      <c r="A99" s="105"/>
      <c r="B99" s="37">
        <v>100</v>
      </c>
      <c r="C99" s="37">
        <v>20</v>
      </c>
      <c r="D99" s="38">
        <v>0.2</v>
      </c>
      <c r="E99" s="41"/>
      <c r="F99" s="104"/>
      <c r="G99" s="39">
        <v>50</v>
      </c>
      <c r="H99" s="39">
        <v>10</v>
      </c>
      <c r="I99" s="40">
        <v>0.2</v>
      </c>
    </row>
    <row r="100" spans="1:12" ht="28.8" x14ac:dyDescent="0.4">
      <c r="A100" s="36" t="s">
        <v>1746</v>
      </c>
      <c r="B100" s="37">
        <v>100</v>
      </c>
      <c r="C100" s="37">
        <v>10</v>
      </c>
      <c r="D100" s="38">
        <v>0.1</v>
      </c>
      <c r="E100" s="41"/>
      <c r="F100" s="104"/>
      <c r="G100" s="39">
        <v>100</v>
      </c>
      <c r="H100" s="39">
        <v>20</v>
      </c>
      <c r="I100" s="40">
        <v>0.2</v>
      </c>
    </row>
    <row r="101" spans="1:12" ht="28.8" x14ac:dyDescent="0.4">
      <c r="A101" s="105" t="s">
        <v>1747</v>
      </c>
      <c r="B101" s="37">
        <v>25</v>
      </c>
      <c r="C101" s="37">
        <v>5</v>
      </c>
      <c r="D101" s="38">
        <v>0.2</v>
      </c>
      <c r="E101" s="41"/>
      <c r="F101" s="104" t="s">
        <v>1748</v>
      </c>
      <c r="G101" s="39">
        <v>30</v>
      </c>
      <c r="H101" s="39">
        <v>3</v>
      </c>
      <c r="I101" s="40">
        <v>0.1</v>
      </c>
    </row>
    <row r="102" spans="1:12" ht="28.8" x14ac:dyDescent="0.4">
      <c r="A102" s="105"/>
      <c r="B102" s="37">
        <v>50</v>
      </c>
      <c r="C102" s="37">
        <v>10</v>
      </c>
      <c r="D102" s="38">
        <v>0.2</v>
      </c>
      <c r="E102" s="41"/>
      <c r="F102" s="104"/>
      <c r="G102" s="39">
        <v>90</v>
      </c>
      <c r="H102" s="39">
        <v>9</v>
      </c>
      <c r="I102" s="40">
        <v>0.1</v>
      </c>
    </row>
    <row r="103" spans="1:12" ht="28.8" x14ac:dyDescent="0.4">
      <c r="A103" s="105"/>
      <c r="B103" s="37">
        <v>100</v>
      </c>
      <c r="C103" s="37">
        <v>20</v>
      </c>
      <c r="D103" s="38">
        <v>0.2</v>
      </c>
      <c r="E103" s="41"/>
      <c r="F103" s="104"/>
      <c r="G103" s="39">
        <v>120</v>
      </c>
      <c r="H103" s="39">
        <v>12</v>
      </c>
      <c r="I103" s="40">
        <v>0.1</v>
      </c>
    </row>
    <row r="104" spans="1:12" x14ac:dyDescent="0.4">
      <c r="E104" s="43"/>
    </row>
    <row r="105" spans="1:12" x14ac:dyDescent="0.4">
      <c r="A105" s="44"/>
      <c r="B105" s="45"/>
      <c r="C105" s="45"/>
      <c r="D105" s="45"/>
      <c r="E105" s="46"/>
      <c r="F105" s="47"/>
      <c r="G105" s="47"/>
      <c r="H105" s="48"/>
    </row>
    <row r="106" spans="1:12" x14ac:dyDescent="0.4">
      <c r="A106" s="49"/>
      <c r="F106" s="46"/>
      <c r="G106" s="46"/>
      <c r="H106" s="50"/>
    </row>
    <row r="107" spans="1:12" ht="23.4" x14ac:dyDescent="0.4">
      <c r="A107" s="109" t="s">
        <v>2731</v>
      </c>
      <c r="B107" s="110"/>
      <c r="C107" s="110"/>
      <c r="D107" s="110"/>
      <c r="E107" s="110"/>
      <c r="F107" s="110"/>
      <c r="G107" s="110"/>
      <c r="H107" s="111"/>
    </row>
    <row r="108" spans="1:12" ht="23.4" x14ac:dyDescent="0.4">
      <c r="A108" s="51" t="s">
        <v>1749</v>
      </c>
      <c r="B108" s="112" t="s">
        <v>1750</v>
      </c>
      <c r="C108" s="112"/>
      <c r="D108" s="112"/>
      <c r="E108" s="112" t="s">
        <v>1751</v>
      </c>
      <c r="F108" s="112"/>
      <c r="G108" s="112"/>
      <c r="H108" s="48"/>
    </row>
    <row r="109" spans="1:12" x14ac:dyDescent="0.4">
      <c r="A109" s="52" t="s">
        <v>1752</v>
      </c>
      <c r="B109" s="53" t="s">
        <v>1753</v>
      </c>
      <c r="C109" s="53" t="s">
        <v>1754</v>
      </c>
      <c r="D109" s="53" t="s">
        <v>1755</v>
      </c>
      <c r="E109" s="54" t="s">
        <v>1756</v>
      </c>
      <c r="F109" s="53" t="s">
        <v>1753</v>
      </c>
      <c r="G109" s="53" t="s">
        <v>1754</v>
      </c>
      <c r="H109" s="55" t="s">
        <v>1755</v>
      </c>
    </row>
    <row r="110" spans="1:12" x14ac:dyDescent="0.4">
      <c r="A110" s="51" t="s">
        <v>1757</v>
      </c>
      <c r="B110" s="56">
        <f>B115/2</f>
        <v>3072</v>
      </c>
      <c r="C110" s="56">
        <f>C115/2</f>
        <v>768</v>
      </c>
      <c r="D110" s="53">
        <v>3840</v>
      </c>
      <c r="E110" s="57">
        <f>+D110/768</f>
        <v>5</v>
      </c>
      <c r="F110" s="56">
        <f>+H110/125*100</f>
        <v>2880</v>
      </c>
      <c r="G110" s="56">
        <f>+H110-F110</f>
        <v>720</v>
      </c>
      <c r="H110" s="55">
        <f>720*5</f>
        <v>3600</v>
      </c>
    </row>
    <row r="111" spans="1:12" x14ac:dyDescent="0.4">
      <c r="A111" s="51" t="s">
        <v>1758</v>
      </c>
      <c r="B111" s="56">
        <v>3686</v>
      </c>
      <c r="C111" s="56">
        <f>+D111-B111</f>
        <v>922</v>
      </c>
      <c r="D111" s="53">
        <f>+D110+768</f>
        <v>4608</v>
      </c>
      <c r="E111" s="57">
        <f t="shared" ref="E111:E125" si="0">+D111/768</f>
        <v>6</v>
      </c>
      <c r="F111" s="56">
        <f t="shared" ref="F111:F125" si="1">+H111/125*100</f>
        <v>3456</v>
      </c>
      <c r="G111" s="56">
        <f t="shared" ref="G111:G125" si="2">+H111-F111</f>
        <v>864</v>
      </c>
      <c r="H111" s="55">
        <f>+H110+720</f>
        <v>4320</v>
      </c>
      <c r="J111" s="58"/>
      <c r="L111" s="58"/>
    </row>
    <row r="112" spans="1:12" x14ac:dyDescent="0.4">
      <c r="A112" s="51"/>
      <c r="B112" s="56">
        <v>4301</v>
      </c>
      <c r="C112" s="56">
        <f t="shared" ref="C112:C125" si="3">+D112-B112</f>
        <v>1075</v>
      </c>
      <c r="D112" s="53">
        <f>+D111+768</f>
        <v>5376</v>
      </c>
      <c r="E112" s="57">
        <f t="shared" si="0"/>
        <v>7</v>
      </c>
      <c r="F112" s="56">
        <f t="shared" si="1"/>
        <v>4032</v>
      </c>
      <c r="G112" s="56">
        <f t="shared" si="2"/>
        <v>1008</v>
      </c>
      <c r="H112" s="55">
        <f t="shared" ref="H112:H125" si="4">+H111+720</f>
        <v>5040</v>
      </c>
    </row>
    <row r="113" spans="1:14" x14ac:dyDescent="0.4">
      <c r="A113" s="51"/>
      <c r="B113" s="56">
        <v>4915</v>
      </c>
      <c r="C113" s="56">
        <f t="shared" si="3"/>
        <v>1229</v>
      </c>
      <c r="D113" s="53">
        <f>+D112+768</f>
        <v>6144</v>
      </c>
      <c r="E113" s="57">
        <f t="shared" si="0"/>
        <v>8</v>
      </c>
      <c r="F113" s="56">
        <f t="shared" si="1"/>
        <v>4608</v>
      </c>
      <c r="G113" s="56">
        <f t="shared" si="2"/>
        <v>1152</v>
      </c>
      <c r="H113" s="55">
        <f t="shared" si="4"/>
        <v>5760</v>
      </c>
    </row>
    <row r="114" spans="1:14" x14ac:dyDescent="0.4">
      <c r="A114" s="51"/>
      <c r="B114" s="56">
        <v>5530</v>
      </c>
      <c r="C114" s="56">
        <f t="shared" si="3"/>
        <v>1382</v>
      </c>
      <c r="D114" s="53">
        <f>+D113+768</f>
        <v>6912</v>
      </c>
      <c r="E114" s="57">
        <f t="shared" si="0"/>
        <v>9</v>
      </c>
      <c r="F114" s="56">
        <f t="shared" si="1"/>
        <v>5184</v>
      </c>
      <c r="G114" s="56">
        <f t="shared" si="2"/>
        <v>1296</v>
      </c>
      <c r="H114" s="55">
        <f t="shared" si="4"/>
        <v>6480</v>
      </c>
    </row>
    <row r="115" spans="1:14" x14ac:dyDescent="0.4">
      <c r="A115" s="51"/>
      <c r="B115" s="56">
        <f>+D115/125*100</f>
        <v>6144</v>
      </c>
      <c r="C115" s="56">
        <f t="shared" si="3"/>
        <v>1536</v>
      </c>
      <c r="D115" s="53">
        <f>+D114+768</f>
        <v>7680</v>
      </c>
      <c r="E115" s="57">
        <f t="shared" si="0"/>
        <v>10</v>
      </c>
      <c r="F115" s="56">
        <f t="shared" si="1"/>
        <v>5760</v>
      </c>
      <c r="G115" s="56">
        <f t="shared" si="2"/>
        <v>1440</v>
      </c>
      <c r="H115" s="55">
        <f t="shared" si="4"/>
        <v>7200</v>
      </c>
    </row>
    <row r="116" spans="1:14" x14ac:dyDescent="0.4">
      <c r="A116" s="51"/>
      <c r="B116" s="56">
        <v>6759</v>
      </c>
      <c r="C116" s="56">
        <f t="shared" si="3"/>
        <v>1689</v>
      </c>
      <c r="D116" s="53">
        <f t="shared" ref="D116:D125" si="5">+D115+768</f>
        <v>8448</v>
      </c>
      <c r="E116" s="57">
        <f t="shared" si="0"/>
        <v>11</v>
      </c>
      <c r="F116" s="56">
        <f t="shared" si="1"/>
        <v>6336</v>
      </c>
      <c r="G116" s="56">
        <f t="shared" si="2"/>
        <v>1584</v>
      </c>
      <c r="H116" s="55">
        <f t="shared" si="4"/>
        <v>7920</v>
      </c>
    </row>
    <row r="117" spans="1:14" x14ac:dyDescent="0.4">
      <c r="A117" s="51"/>
      <c r="B117" s="56">
        <v>7373</v>
      </c>
      <c r="C117" s="56">
        <f t="shared" si="3"/>
        <v>1843</v>
      </c>
      <c r="D117" s="53">
        <f t="shared" si="5"/>
        <v>9216</v>
      </c>
      <c r="E117" s="57">
        <f t="shared" si="0"/>
        <v>12</v>
      </c>
      <c r="F117" s="56">
        <f t="shared" si="1"/>
        <v>6912</v>
      </c>
      <c r="G117" s="56">
        <f t="shared" si="2"/>
        <v>1728</v>
      </c>
      <c r="H117" s="55">
        <f t="shared" si="4"/>
        <v>8640</v>
      </c>
    </row>
    <row r="118" spans="1:14" x14ac:dyDescent="0.4">
      <c r="A118" s="51"/>
      <c r="B118" s="56">
        <v>7988</v>
      </c>
      <c r="C118" s="56">
        <f t="shared" si="3"/>
        <v>1996</v>
      </c>
      <c r="D118" s="53">
        <f t="shared" si="5"/>
        <v>9984</v>
      </c>
      <c r="E118" s="57">
        <f t="shared" si="0"/>
        <v>13</v>
      </c>
      <c r="F118" s="56">
        <f t="shared" si="1"/>
        <v>7488</v>
      </c>
      <c r="G118" s="56">
        <f t="shared" si="2"/>
        <v>1872</v>
      </c>
      <c r="H118" s="55">
        <f t="shared" si="4"/>
        <v>9360</v>
      </c>
      <c r="L118" s="58"/>
      <c r="M118" s="58"/>
      <c r="N118" s="58"/>
    </row>
    <row r="119" spans="1:14" x14ac:dyDescent="0.4">
      <c r="A119" s="52"/>
      <c r="B119" s="56">
        <v>8602</v>
      </c>
      <c r="C119" s="56">
        <f t="shared" si="3"/>
        <v>2150</v>
      </c>
      <c r="D119" s="53">
        <f t="shared" si="5"/>
        <v>10752</v>
      </c>
      <c r="E119" s="57">
        <f t="shared" si="0"/>
        <v>14</v>
      </c>
      <c r="F119" s="56">
        <f t="shared" si="1"/>
        <v>8064</v>
      </c>
      <c r="G119" s="56">
        <f t="shared" si="2"/>
        <v>2016</v>
      </c>
      <c r="H119" s="55">
        <f t="shared" si="4"/>
        <v>10080</v>
      </c>
    </row>
    <row r="120" spans="1:14" x14ac:dyDescent="0.4">
      <c r="A120" s="59"/>
      <c r="B120" s="56">
        <f>+D120/125*100</f>
        <v>9216</v>
      </c>
      <c r="C120" s="56">
        <f t="shared" si="3"/>
        <v>2304</v>
      </c>
      <c r="D120" s="53">
        <f t="shared" si="5"/>
        <v>11520</v>
      </c>
      <c r="E120" s="57">
        <f t="shared" si="0"/>
        <v>15</v>
      </c>
      <c r="F120" s="56">
        <f t="shared" si="1"/>
        <v>8640</v>
      </c>
      <c r="G120" s="56">
        <f t="shared" si="2"/>
        <v>2160</v>
      </c>
      <c r="H120" s="55">
        <f>+H119+720</f>
        <v>10800</v>
      </c>
    </row>
    <row r="121" spans="1:14" x14ac:dyDescent="0.4">
      <c r="A121" s="59"/>
      <c r="B121" s="56">
        <v>9830</v>
      </c>
      <c r="C121" s="56">
        <f t="shared" si="3"/>
        <v>2458</v>
      </c>
      <c r="D121" s="53">
        <f t="shared" si="5"/>
        <v>12288</v>
      </c>
      <c r="E121" s="57">
        <f t="shared" si="0"/>
        <v>16</v>
      </c>
      <c r="F121" s="56">
        <f t="shared" si="1"/>
        <v>9216</v>
      </c>
      <c r="G121" s="56">
        <f t="shared" si="2"/>
        <v>2304</v>
      </c>
      <c r="H121" s="55">
        <f t="shared" si="4"/>
        <v>11520</v>
      </c>
    </row>
    <row r="122" spans="1:14" x14ac:dyDescent="0.4">
      <c r="A122" s="60"/>
      <c r="B122" s="56">
        <v>10445</v>
      </c>
      <c r="C122" s="56">
        <f t="shared" si="3"/>
        <v>2611</v>
      </c>
      <c r="D122" s="53">
        <f>+D121+768</f>
        <v>13056</v>
      </c>
      <c r="E122" s="57">
        <f t="shared" si="0"/>
        <v>17</v>
      </c>
      <c r="F122" s="56">
        <f t="shared" si="1"/>
        <v>9792</v>
      </c>
      <c r="G122" s="56">
        <f t="shared" si="2"/>
        <v>2448</v>
      </c>
      <c r="H122" s="55">
        <f t="shared" si="4"/>
        <v>12240</v>
      </c>
    </row>
    <row r="123" spans="1:14" x14ac:dyDescent="0.4">
      <c r="A123" s="60"/>
      <c r="B123" s="56">
        <v>11059</v>
      </c>
      <c r="C123" s="56">
        <f t="shared" si="3"/>
        <v>2765</v>
      </c>
      <c r="D123" s="53">
        <f t="shared" si="5"/>
        <v>13824</v>
      </c>
      <c r="E123" s="57">
        <f t="shared" si="0"/>
        <v>18</v>
      </c>
      <c r="F123" s="56">
        <f t="shared" si="1"/>
        <v>10368</v>
      </c>
      <c r="G123" s="56">
        <f t="shared" si="2"/>
        <v>2592</v>
      </c>
      <c r="H123" s="55">
        <f t="shared" si="4"/>
        <v>12960</v>
      </c>
    </row>
    <row r="124" spans="1:14" x14ac:dyDescent="0.4">
      <c r="A124" s="60"/>
      <c r="B124" s="56">
        <v>11674</v>
      </c>
      <c r="C124" s="56">
        <f t="shared" si="3"/>
        <v>2918</v>
      </c>
      <c r="D124" s="53">
        <f t="shared" si="5"/>
        <v>14592</v>
      </c>
      <c r="E124" s="57">
        <f t="shared" si="0"/>
        <v>19</v>
      </c>
      <c r="F124" s="56">
        <f t="shared" si="1"/>
        <v>10944</v>
      </c>
      <c r="G124" s="56">
        <f t="shared" si="2"/>
        <v>2736</v>
      </c>
      <c r="H124" s="55">
        <f t="shared" si="4"/>
        <v>13680</v>
      </c>
    </row>
    <row r="125" spans="1:14" x14ac:dyDescent="0.4">
      <c r="A125" s="59"/>
      <c r="B125" s="56">
        <f>+D125/125*100</f>
        <v>12288</v>
      </c>
      <c r="C125" s="56">
        <f t="shared" si="3"/>
        <v>3072</v>
      </c>
      <c r="D125" s="53">
        <f t="shared" si="5"/>
        <v>15360</v>
      </c>
      <c r="E125" s="57">
        <f t="shared" si="0"/>
        <v>20</v>
      </c>
      <c r="F125" s="56">
        <f t="shared" si="1"/>
        <v>11520</v>
      </c>
      <c r="G125" s="56">
        <f t="shared" si="2"/>
        <v>2880</v>
      </c>
      <c r="H125" s="55">
        <f t="shared" si="4"/>
        <v>14400</v>
      </c>
    </row>
    <row r="126" spans="1:14" x14ac:dyDescent="0.4">
      <c r="A126" s="59"/>
      <c r="B126" s="56">
        <f>+B125+B110</f>
        <v>15360</v>
      </c>
      <c r="C126" s="56">
        <f>+C125+C110</f>
        <v>3840</v>
      </c>
      <c r="D126" s="61">
        <f>+D125+D110</f>
        <v>19200</v>
      </c>
      <c r="E126" s="57">
        <v>26</v>
      </c>
      <c r="F126" s="56">
        <f>+F125+576</f>
        <v>12096</v>
      </c>
      <c r="G126" s="56">
        <f>2880+144</f>
        <v>3024</v>
      </c>
      <c r="H126" s="62">
        <f>+F126+G126</f>
        <v>15120</v>
      </c>
    </row>
    <row r="127" spans="1:14" x14ac:dyDescent="0.4">
      <c r="A127" s="59"/>
      <c r="B127" s="56">
        <f>+B125+B112</f>
        <v>16589</v>
      </c>
      <c r="C127" s="56">
        <f>+C125+C112</f>
        <v>4147</v>
      </c>
      <c r="D127" s="61">
        <f>+D125+D112</f>
        <v>20736</v>
      </c>
      <c r="E127" s="56">
        <f>+E125+E112</f>
        <v>27</v>
      </c>
      <c r="F127" s="56">
        <f>+F126+576</f>
        <v>12672</v>
      </c>
      <c r="G127" s="63">
        <f>+G126+144</f>
        <v>3168</v>
      </c>
      <c r="H127" s="64">
        <f>+F127+G127</f>
        <v>15840</v>
      </c>
    </row>
    <row r="128" spans="1:14" x14ac:dyDescent="0.4">
      <c r="A128" s="52" t="s">
        <v>1759</v>
      </c>
      <c r="B128" s="65"/>
      <c r="C128" s="65"/>
      <c r="D128" s="65"/>
      <c r="E128" s="47"/>
      <c r="F128" s="47"/>
      <c r="G128" s="47"/>
      <c r="H128" s="48"/>
    </row>
    <row r="129" spans="1:8" x14ac:dyDescent="0.4">
      <c r="A129" s="59" t="s">
        <v>1760</v>
      </c>
      <c r="B129" s="65"/>
      <c r="C129" s="65"/>
      <c r="D129" s="65"/>
      <c r="E129" s="47"/>
      <c r="F129" s="63"/>
      <c r="G129" s="63"/>
      <c r="H129" s="63"/>
    </row>
    <row r="130" spans="1:8" x14ac:dyDescent="0.4">
      <c r="A130" s="66" t="s">
        <v>1761</v>
      </c>
      <c r="B130" s="67"/>
      <c r="C130" s="67"/>
      <c r="D130" s="67"/>
      <c r="E130" s="68"/>
      <c r="F130" s="68"/>
      <c r="G130" s="68"/>
      <c r="H130" s="69"/>
    </row>
    <row r="132" spans="1:8" x14ac:dyDescent="0.4">
      <c r="B132" s="70"/>
      <c r="C132" s="70"/>
      <c r="D132" s="70"/>
      <c r="E132" s="70"/>
      <c r="F132" s="58"/>
      <c r="G132" s="58"/>
      <c r="H132" s="58"/>
    </row>
    <row r="133" spans="1:8" x14ac:dyDescent="0.4">
      <c r="B133" s="70"/>
      <c r="D133" s="70"/>
    </row>
  </sheetData>
  <mergeCells count="77">
    <mergeCell ref="A101:A103"/>
    <mergeCell ref="F101:F103"/>
    <mergeCell ref="A107:H107"/>
    <mergeCell ref="B108:D108"/>
    <mergeCell ref="E108:G108"/>
    <mergeCell ref="A93:A94"/>
    <mergeCell ref="F93:F95"/>
    <mergeCell ref="A95:A97"/>
    <mergeCell ref="F96:F97"/>
    <mergeCell ref="A98:A99"/>
    <mergeCell ref="F98:F100"/>
    <mergeCell ref="A84:A85"/>
    <mergeCell ref="F84:F85"/>
    <mergeCell ref="A86:A87"/>
    <mergeCell ref="F87:F90"/>
    <mergeCell ref="A88:A89"/>
    <mergeCell ref="A90:A92"/>
    <mergeCell ref="F91:F92"/>
    <mergeCell ref="A78:A79"/>
    <mergeCell ref="F78:F80"/>
    <mergeCell ref="A80:A81"/>
    <mergeCell ref="F81:F83"/>
    <mergeCell ref="A82:A83"/>
    <mergeCell ref="A67:A68"/>
    <mergeCell ref="F67:F69"/>
    <mergeCell ref="A70:A71"/>
    <mergeCell ref="F70:F71"/>
    <mergeCell ref="A72:A73"/>
    <mergeCell ref="F72:F74"/>
    <mergeCell ref="A74:A75"/>
    <mergeCell ref="F75:F77"/>
    <mergeCell ref="A76:A77"/>
    <mergeCell ref="F58:F60"/>
    <mergeCell ref="A59:A60"/>
    <mergeCell ref="A61:A62"/>
    <mergeCell ref="F61:F62"/>
    <mergeCell ref="F63:F64"/>
    <mergeCell ref="A64:A65"/>
    <mergeCell ref="F65:F66"/>
    <mergeCell ref="A50:D50"/>
    <mergeCell ref="F50:I50"/>
    <mergeCell ref="F52:F54"/>
    <mergeCell ref="A54:A55"/>
    <mergeCell ref="F55:F57"/>
    <mergeCell ref="A56:A57"/>
    <mergeCell ref="A29:A31"/>
    <mergeCell ref="F29:F30"/>
    <mergeCell ref="F31:F33"/>
    <mergeCell ref="A33:A34"/>
    <mergeCell ref="F34:F36"/>
    <mergeCell ref="A35:A37"/>
    <mergeCell ref="F37:F38"/>
    <mergeCell ref="A38:A39"/>
    <mergeCell ref="F39:F40"/>
    <mergeCell ref="A40:A42"/>
    <mergeCell ref="F42:F43"/>
    <mergeCell ref="A43:A44"/>
    <mergeCell ref="F44:F45"/>
    <mergeCell ref="A45:A46"/>
    <mergeCell ref="F20:F21"/>
    <mergeCell ref="F22:F23"/>
    <mergeCell ref="A24:A25"/>
    <mergeCell ref="F24:F25"/>
    <mergeCell ref="A26:A27"/>
    <mergeCell ref="F26:F28"/>
    <mergeCell ref="A13:A14"/>
    <mergeCell ref="F13:F14"/>
    <mergeCell ref="A15:A16"/>
    <mergeCell ref="F15:F16"/>
    <mergeCell ref="F17:F18"/>
    <mergeCell ref="A1:I1"/>
    <mergeCell ref="F4:F5"/>
    <mergeCell ref="F6:F7"/>
    <mergeCell ref="F8:F9"/>
    <mergeCell ref="A9:A10"/>
    <mergeCell ref="F10:F11"/>
    <mergeCell ref="A11:A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DB</vt:lpstr>
      <vt:lpstr>Product DB</vt:lpstr>
      <vt:lpstr>Scheme DB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Harith K P</cp:lastModifiedBy>
  <dcterms:created xsi:type="dcterms:W3CDTF">2015-06-05T18:17:20Z</dcterms:created>
  <dcterms:modified xsi:type="dcterms:W3CDTF">2026-01-24T04:14:59Z</dcterms:modified>
</cp:coreProperties>
</file>